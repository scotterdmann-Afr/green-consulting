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MI2\Desktop\Work\Green Consulting\SOBRAGA\Devis\"/>
    </mc:Choice>
  </mc:AlternateContent>
  <xr:revisionPtr revIDLastSave="0" documentId="8_{34A04560-EA3A-4082-A337-3F189FF137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cture" sheetId="1" r:id="rId1"/>
    <sheet name="Calculs" sheetId="3" r:id="rId2"/>
  </sheets>
  <definedNames>
    <definedName name="_xlnm.Print_Area" localSheetId="0">Facture!$A$1:$D$52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9" i="1" l="1"/>
  <c r="D40" i="1"/>
  <c r="T12" i="3"/>
  <c r="S110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23" i="3"/>
  <c r="K22" i="3"/>
  <c r="K2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26" i="3"/>
  <c r="G125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28" i="3"/>
  <c r="G27" i="3"/>
  <c r="G26" i="3"/>
  <c r="D41" i="1" l="1"/>
  <c r="E3" i="3" s="1"/>
  <c r="E4" i="3" s="1"/>
  <c r="F4" i="3" s="1"/>
  <c r="G15" i="3" l="1"/>
  <c r="E5" i="3"/>
  <c r="E6" i="3" l="1"/>
  <c r="F5" i="3"/>
  <c r="E7" i="3" l="1"/>
  <c r="F6" i="3"/>
  <c r="F15" i="3" s="1"/>
  <c r="F7" i="3" l="1"/>
  <c r="E15" i="3" s="1"/>
  <c r="E8" i="3"/>
  <c r="E9" i="3" l="1"/>
  <c r="F9" i="3" s="1"/>
  <c r="G8" i="3" s="1"/>
  <c r="M12" i="3" s="1"/>
  <c r="O12" i="3" s="1"/>
  <c r="E10" i="3" l="1"/>
  <c r="E11" i="3" s="1"/>
  <c r="E12" i="3" s="1"/>
  <c r="F12" i="3" s="1"/>
  <c r="F10" i="3" l="1"/>
  <c r="F11" i="3"/>
  <c r="D15" i="3" s="1"/>
  <c r="C19" i="3" s="1"/>
  <c r="A2" i="3" s="1"/>
  <c r="A46" i="1" s="1"/>
</calcChain>
</file>

<file path=xl/sharedStrings.xml><?xml version="1.0" encoding="utf-8"?>
<sst xmlns="http://schemas.openxmlformats.org/spreadsheetml/2006/main" count="4167" uniqueCount="155">
  <si>
    <t>DESIGNATION</t>
  </si>
  <si>
    <t>QUANTITE</t>
  </si>
  <si>
    <t>DATE</t>
  </si>
  <si>
    <t>Libreville, Gabon</t>
  </si>
  <si>
    <t>CLIENT</t>
  </si>
  <si>
    <t>GREEN Consulting</t>
  </si>
  <si>
    <t>Total</t>
  </si>
  <si>
    <t>Reste à payer</t>
  </si>
  <si>
    <t xml:space="preserve"> Francs CFA.</t>
  </si>
  <si>
    <t>mille</t>
  </si>
  <si>
    <t xml:space="preserve"> vingt</t>
  </si>
  <si>
    <t xml:space="preserve"> cinq</t>
  </si>
  <si>
    <t xml:space="preserve"> vingt cinq</t>
  </si>
  <si>
    <t xml:space="preserve"> quinze</t>
  </si>
  <si>
    <t xml:space="preserve"> mille</t>
  </si>
  <si>
    <t xml:space="preserve"> millions</t>
  </si>
  <si>
    <t xml:space="preserve"> deux</t>
  </si>
  <si>
    <t xml:space="preserve"> six </t>
  </si>
  <si>
    <t xml:space="preserve"> vingt six </t>
  </si>
  <si>
    <t xml:space="preserve"> seize</t>
  </si>
  <si>
    <t xml:space="preserve"> trois</t>
  </si>
  <si>
    <t xml:space="preserve"> sept</t>
  </si>
  <si>
    <t xml:space="preserve"> vingt sept</t>
  </si>
  <si>
    <t xml:space="preserve"> dix sept</t>
  </si>
  <si>
    <t xml:space="preserve"> quatre</t>
  </si>
  <si>
    <t xml:space="preserve"> huit</t>
  </si>
  <si>
    <t xml:space="preserve"> vingt huit</t>
  </si>
  <si>
    <t xml:space="preserve"> dix huit</t>
  </si>
  <si>
    <t xml:space="preserve"> neuf</t>
  </si>
  <si>
    <t xml:space="preserve"> vingt neuf</t>
  </si>
  <si>
    <t xml:space="preserve"> dix neuf</t>
  </si>
  <si>
    <t xml:space="preserve"> trente</t>
  </si>
  <si>
    <t xml:space="preserve"> et un</t>
  </si>
  <si>
    <t xml:space="preserve"> trente et un</t>
  </si>
  <si>
    <t xml:space="preserve"> vingt et un</t>
  </si>
  <si>
    <t xml:space="preserve"> trente deux</t>
  </si>
  <si>
    <t xml:space="preserve"> vingt deux</t>
  </si>
  <si>
    <t xml:space="preserve"> trente trois</t>
  </si>
  <si>
    <t xml:space="preserve"> vingt trois</t>
  </si>
  <si>
    <t xml:space="preserve"> dix</t>
  </si>
  <si>
    <t xml:space="preserve"> trente quatre</t>
  </si>
  <si>
    <t xml:space="preserve"> vingt quatre</t>
  </si>
  <si>
    <t xml:space="preserve"> onze</t>
  </si>
  <si>
    <t xml:space="preserve"> trente cinq</t>
  </si>
  <si>
    <t xml:space="preserve"> douze</t>
  </si>
  <si>
    <t xml:space="preserve"> trente six </t>
  </si>
  <si>
    <t xml:space="preserve"> treize</t>
  </si>
  <si>
    <t xml:space="preserve"> trente sept</t>
  </si>
  <si>
    <t xml:space="preserve"> quatorze</t>
  </si>
  <si>
    <t xml:space="preserve"> trente huit</t>
  </si>
  <si>
    <t xml:space="preserve"> trente neuf</t>
  </si>
  <si>
    <t xml:space="preserve"> quarante</t>
  </si>
  <si>
    <t xml:space="preserve"> quarante et un</t>
  </si>
  <si>
    <t xml:space="preserve"> quarante deux</t>
  </si>
  <si>
    <t xml:space="preserve"> quarante trois</t>
  </si>
  <si>
    <t xml:space="preserve"> quarante quatre</t>
  </si>
  <si>
    <t xml:space="preserve"> quarante cinq</t>
  </si>
  <si>
    <t xml:space="preserve"> quarante six </t>
  </si>
  <si>
    <t xml:space="preserve"> quarante sept</t>
  </si>
  <si>
    <t xml:space="preserve"> quarante huit</t>
  </si>
  <si>
    <t xml:space="preserve"> quarante neuf</t>
  </si>
  <si>
    <t xml:space="preserve"> cinquante</t>
  </si>
  <si>
    <t xml:space="preserve"> cinquante et un</t>
  </si>
  <si>
    <t xml:space="preserve"> cinquante deux</t>
  </si>
  <si>
    <t xml:space="preserve"> cinquante trois</t>
  </si>
  <si>
    <t xml:space="preserve"> cinquante quatre</t>
  </si>
  <si>
    <t xml:space="preserve"> cinquante cinq</t>
  </si>
  <si>
    <t xml:space="preserve"> cinquante six </t>
  </si>
  <si>
    <t xml:space="preserve"> cinquante sept</t>
  </si>
  <si>
    <t xml:space="preserve"> cinquante huit</t>
  </si>
  <si>
    <t xml:space="preserve"> cinquante neuf</t>
  </si>
  <si>
    <t xml:space="preserve"> soixante</t>
  </si>
  <si>
    <t xml:space="preserve"> soixante et un</t>
  </si>
  <si>
    <t xml:space="preserve"> soixante deux</t>
  </si>
  <si>
    <t xml:space="preserve"> soixante trois</t>
  </si>
  <si>
    <t xml:space="preserve"> soixante quatre</t>
  </si>
  <si>
    <t xml:space="preserve"> soixante cinq</t>
  </si>
  <si>
    <t xml:space="preserve"> soixante six </t>
  </si>
  <si>
    <t xml:space="preserve"> soixante sept</t>
  </si>
  <si>
    <t xml:space="preserve"> soixante huit</t>
  </si>
  <si>
    <t xml:space="preserve"> soixante neuf</t>
  </si>
  <si>
    <t xml:space="preserve"> soixante dix</t>
  </si>
  <si>
    <t xml:space="preserve"> et onze</t>
  </si>
  <si>
    <t xml:space="preserve"> soixante et onze</t>
  </si>
  <si>
    <t xml:space="preserve"> soixante douze</t>
  </si>
  <si>
    <t xml:space="preserve"> soixante treize</t>
  </si>
  <si>
    <t xml:space="preserve"> soixante quatorze</t>
  </si>
  <si>
    <t xml:space="preserve"> soixante quinze</t>
  </si>
  <si>
    <t xml:space="preserve"> soixante seize</t>
  </si>
  <si>
    <t xml:space="preserve"> soixante dix sept</t>
  </si>
  <si>
    <t xml:space="preserve"> soixante dix huit</t>
  </si>
  <si>
    <t xml:space="preserve"> soixante dix neuf</t>
  </si>
  <si>
    <t xml:space="preserve"> quatre vingt</t>
  </si>
  <si>
    <t xml:space="preserve"> quatre vingt et un</t>
  </si>
  <si>
    <t xml:space="preserve"> quatre vingt deux</t>
  </si>
  <si>
    <t xml:space="preserve"> quatre vingt trois</t>
  </si>
  <si>
    <t xml:space="preserve"> quatre vingt quatre</t>
  </si>
  <si>
    <t xml:space="preserve"> quatre vingt cinq</t>
  </si>
  <si>
    <t xml:space="preserve"> quatre vingt six </t>
  </si>
  <si>
    <t xml:space="preserve"> quatre vingt sept</t>
  </si>
  <si>
    <t xml:space="preserve"> quatre vingt huit</t>
  </si>
  <si>
    <t xml:space="preserve"> quatre vingt neuf</t>
  </si>
  <si>
    <t xml:space="preserve"> quatre vingt dix</t>
  </si>
  <si>
    <t xml:space="preserve"> quatre vingt et onze</t>
  </si>
  <si>
    <t xml:space="preserve"> quatre vingt douze</t>
  </si>
  <si>
    <t xml:space="preserve"> quatre vingt treize</t>
  </si>
  <si>
    <t xml:space="preserve"> quatre vingt quatorze</t>
  </si>
  <si>
    <t xml:space="preserve"> quatre vingt quinze</t>
  </si>
  <si>
    <t xml:space="preserve"> quatre vingt seize</t>
  </si>
  <si>
    <t xml:space="preserve"> quatre vingt dix sept</t>
  </si>
  <si>
    <t xml:space="preserve"> quatre vingt dix huit</t>
  </si>
  <si>
    <t xml:space="preserve"> quatre vingt dix neuf</t>
  </si>
  <si>
    <t xml:space="preserve"> cent</t>
  </si>
  <si>
    <t xml:space="preserve"> cent mille</t>
  </si>
  <si>
    <t xml:space="preserve"> un</t>
  </si>
  <si>
    <t xml:space="preserve"> vingt </t>
  </si>
  <si>
    <t xml:space="preserve"> six</t>
  </si>
  <si>
    <t xml:space="preserve"> deux cent</t>
  </si>
  <si>
    <t xml:space="preserve"> trois cent</t>
  </si>
  <si>
    <t xml:space="preserve"> quatre cent</t>
  </si>
  <si>
    <t xml:space="preserve"> cinq cent</t>
  </si>
  <si>
    <t xml:space="preserve"> six cent</t>
  </si>
  <si>
    <t xml:space="preserve"> sept cent</t>
  </si>
  <si>
    <t xml:space="preserve"> huit cent</t>
  </si>
  <si>
    <t xml:space="preserve"> neuf cent</t>
  </si>
  <si>
    <t xml:space="preserve"> cent </t>
  </si>
  <si>
    <t xml:space="preserve"> deux cents</t>
  </si>
  <si>
    <t xml:space="preserve"> deux cents mille</t>
  </si>
  <si>
    <t xml:space="preserve"> trois cents</t>
  </si>
  <si>
    <t xml:space="preserve"> trois cents mille</t>
  </si>
  <si>
    <t xml:space="preserve"> quatre cents</t>
  </si>
  <si>
    <t xml:space="preserve"> quatre cents mille</t>
  </si>
  <si>
    <t xml:space="preserve"> cinq cents</t>
  </si>
  <si>
    <t xml:space="preserve"> cinq cents mille</t>
  </si>
  <si>
    <t xml:space="preserve"> six cents</t>
  </si>
  <si>
    <t xml:space="preserve"> six cents mille</t>
  </si>
  <si>
    <t xml:space="preserve"> sept cents</t>
  </si>
  <si>
    <t xml:space="preserve"> sept cents mille</t>
  </si>
  <si>
    <t xml:space="preserve"> huit cents</t>
  </si>
  <si>
    <t xml:space="preserve"> huit cents mille</t>
  </si>
  <si>
    <t xml:space="preserve"> neuf cents</t>
  </si>
  <si>
    <t xml:space="preserve"> neuf cents mille</t>
  </si>
  <si>
    <t xml:space="preserve"> million</t>
  </si>
  <si>
    <t xml:space="preserve"> un million</t>
  </si>
  <si>
    <t>PRIX UNITAIRE</t>
  </si>
  <si>
    <t>TOTAL</t>
  </si>
  <si>
    <t>Livraison prévue :</t>
  </si>
  <si>
    <t>Devis N°</t>
  </si>
  <si>
    <t>-</t>
  </si>
  <si>
    <t>Arrêté du présent devis à la somme de :</t>
  </si>
  <si>
    <t>062 92 21 50</t>
  </si>
  <si>
    <t>BP 15844</t>
  </si>
  <si>
    <r>
      <rPr>
        <b/>
        <u/>
        <sz val="12"/>
        <color theme="1"/>
        <rFont val="Calibri"/>
        <family val="2"/>
        <scheme val="minor"/>
      </rPr>
      <t>Modalités de paiement :</t>
    </r>
    <r>
      <rPr>
        <sz val="12"/>
        <color theme="1"/>
        <rFont val="Calibri"/>
        <family val="2"/>
        <scheme val="minor"/>
      </rPr>
      <t xml:space="preserve">
A régler à la commande</t>
    </r>
  </si>
  <si>
    <t>TVA 18%</t>
  </si>
  <si>
    <t>CSS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</si>
</sst>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i/>
      <u/>
      <sz val="12"/>
      <color theme="1"/>
      <name val="Calibri"/>
      <family val="2"/>
      <scheme val="minor"/>
    </font>
    <font>
      <b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0" fillId="8" borderId="1" xfId="5" applyFont="1" applyFill="1" applyBorder="1" applyAlignment="1">
      <alignment horizontal="center" vertical="center"/>
    </xf>
    <xf numFmtId="0" fontId="9" fillId="8" borderId="0" xfId="2" applyFont="1" applyFill="1" applyBorder="1"/>
    <xf numFmtId="0" fontId="11" fillId="0" borderId="0" xfId="0" applyFont="1"/>
    <xf numFmtId="0" fontId="12" fillId="0" borderId="0" xfId="0" applyFont="1"/>
    <xf numFmtId="14" fontId="6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top"/>
    </xf>
    <xf numFmtId="3" fontId="7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8" fillId="0" borderId="0" xfId="9" applyFont="1"/>
    <xf numFmtId="0" fontId="19" fillId="0" borderId="0" xfId="0" applyFont="1"/>
    <xf numFmtId="3" fontId="19" fillId="0" borderId="0" xfId="0" applyNumberFormat="1" applyFont="1"/>
    <xf numFmtId="11" fontId="6" fillId="0" borderId="0" xfId="0" applyNumberFormat="1" applyFont="1"/>
    <xf numFmtId="3" fontId="0" fillId="0" borderId="0" xfId="0" applyNumberFormat="1"/>
    <xf numFmtId="164" fontId="19" fillId="0" borderId="0" xfId="0" applyNumberFormat="1" applyFont="1"/>
    <xf numFmtId="165" fontId="19" fillId="0" borderId="0" xfId="0" applyNumberFormat="1" applyFont="1"/>
    <xf numFmtId="1" fontId="19" fillId="0" borderId="0" xfId="0" applyNumberFormat="1" applyFont="1"/>
    <xf numFmtId="0" fontId="15" fillId="0" borderId="0" xfId="0" applyFont="1"/>
    <xf numFmtId="0" fontId="6" fillId="0" borderId="0" xfId="0" applyFont="1" applyAlignment="1">
      <alignment horizontal="right"/>
    </xf>
    <xf numFmtId="3" fontId="9" fillId="8" borderId="11" xfId="2" applyNumberFormat="1" applyFont="1" applyFill="1" applyBorder="1" applyAlignment="1">
      <alignment vertical="center" wrapText="1"/>
    </xf>
    <xf numFmtId="3" fontId="0" fillId="0" borderId="12" xfId="0" applyNumberFormat="1" applyBorder="1"/>
    <xf numFmtId="3" fontId="8" fillId="8" borderId="10" xfId="3" applyNumberFormat="1" applyFont="1" applyFill="1" applyBorder="1"/>
    <xf numFmtId="3" fontId="9" fillId="8" borderId="11" xfId="6" applyNumberFormat="1" applyFont="1" applyFill="1" applyBorder="1"/>
    <xf numFmtId="3" fontId="9" fillId="8" borderId="11" xfId="6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9" fillId="8" borderId="3" xfId="6" applyNumberFormat="1" applyFont="1" applyFill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0" fontId="20" fillId="8" borderId="1" xfId="2" applyFont="1" applyFill="1" applyBorder="1" applyAlignment="1">
      <alignment horizontal="center" vertical="center" wrapText="1"/>
    </xf>
    <xf numFmtId="0" fontId="9" fillId="8" borderId="13" xfId="6" applyFont="1" applyFill="1" applyBorder="1" applyAlignment="1">
      <alignment horizontal="left" vertical="center" indent="5"/>
    </xf>
    <xf numFmtId="0" fontId="6" fillId="0" borderId="13" xfId="0" applyFont="1" applyBorder="1" applyAlignment="1">
      <alignment horizontal="left" indent="5"/>
    </xf>
    <xf numFmtId="3" fontId="9" fillId="8" borderId="11" xfId="3" applyNumberFormat="1" applyFont="1" applyFill="1" applyBorder="1" applyAlignment="1">
      <alignment vertical="center"/>
    </xf>
    <xf numFmtId="0" fontId="6" fillId="0" borderId="2" xfId="0" applyFont="1" applyBorder="1"/>
    <xf numFmtId="0" fontId="13" fillId="0" borderId="0" xfId="0" applyFont="1" applyAlignment="1">
      <alignment wrapText="1"/>
    </xf>
    <xf numFmtId="3" fontId="9" fillId="8" borderId="5" xfId="1" applyNumberFormat="1" applyFont="1" applyFill="1" applyBorder="1"/>
    <xf numFmtId="3" fontId="9" fillId="8" borderId="7" xfId="1" applyNumberFormat="1" applyFont="1" applyFill="1" applyBorder="1" applyAlignment="1">
      <alignment horizontal="center" vertical="center"/>
    </xf>
    <xf numFmtId="3" fontId="9" fillId="8" borderId="7" xfId="2" applyNumberFormat="1" applyFont="1" applyFill="1" applyBorder="1" applyAlignment="1">
      <alignment horizontal="center" vertical="center" wrapText="1"/>
    </xf>
    <xf numFmtId="3" fontId="9" fillId="8" borderId="7" xfId="1" applyNumberFormat="1" applyFont="1" applyFill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6" fillId="0" borderId="13" xfId="0" applyNumberFormat="1" applyFont="1" applyBorder="1" applyAlignment="1">
      <alignment horizontal="center" vertical="center" wrapText="1"/>
    </xf>
    <xf numFmtId="0" fontId="9" fillId="8" borderId="13" xfId="2" applyFont="1" applyFill="1" applyBorder="1" applyAlignment="1">
      <alignment horizontal="center" vertical="center"/>
    </xf>
    <xf numFmtId="0" fontId="9" fillId="8" borderId="13" xfId="4" applyFont="1" applyFill="1" applyBorder="1" applyAlignment="1">
      <alignment horizontal="center" vertical="center"/>
    </xf>
    <xf numFmtId="0" fontId="21" fillId="8" borderId="13" xfId="6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5"/>
    </xf>
    <xf numFmtId="0" fontId="23" fillId="0" borderId="13" xfId="0" applyFont="1" applyBorder="1"/>
    <xf numFmtId="0" fontId="6" fillId="0" borderId="13" xfId="0" applyFont="1" applyBorder="1"/>
    <xf numFmtId="0" fontId="24" fillId="0" borderId="13" xfId="0" applyFont="1" applyBorder="1" applyAlignment="1">
      <alignment wrapText="1"/>
    </xf>
    <xf numFmtId="0" fontId="0" fillId="0" borderId="13" xfId="0" applyBorder="1" applyAlignment="1">
      <alignment vertical="center" wrapText="1"/>
    </xf>
    <xf numFmtId="0" fontId="25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26" fillId="0" borderId="13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</cellXfs>
  <cellStyles count="14">
    <cellStyle name="20 % - Accent1" xfId="2" builtinId="30"/>
    <cellStyle name="20 % - Accent3" xfId="3" builtinId="38"/>
    <cellStyle name="20 % - Accent4" xfId="4" builtinId="42"/>
    <cellStyle name="20 % - Accent6" xfId="6" builtinId="50"/>
    <cellStyle name="Accent5" xfId="5" builtinId="45"/>
    <cellStyle name="Neutre" xfId="1" builtinId="28"/>
    <cellStyle name="Normal" xfId="0" builtinId="0"/>
    <cellStyle name="Normal 2" xfId="7" xr:uid="{00000000-0005-0000-0000-000007000000}"/>
    <cellStyle name="Normal 3" xfId="9" xr:uid="{00000000-0005-0000-0000-000008000000}"/>
    <cellStyle name="Normal 3 2" xfId="11" xr:uid="{4C7BAAB7-D726-4CD5-9CF3-4DF8D40B15AB}"/>
    <cellStyle name="Percent 2" xfId="8" xr:uid="{00000000-0005-0000-0000-000009000000}"/>
    <cellStyle name="Percent 3" xfId="10" xr:uid="{00000000-0005-0000-0000-00000A000000}"/>
    <cellStyle name="Percent 3 2" xfId="12" xr:uid="{BCEAD54C-DB31-4FE8-A858-BC8963EB94FA}"/>
    <cellStyle name="Pourcentage 2" xfId="13" xr:uid="{A9A246CC-8A78-4569-98F9-FEA063C75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3784409</xdr:colOff>
      <xdr:row>6</xdr:row>
      <xdr:rowOff>172951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1869" cy="1451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tabSelected="1" view="pageBreakPreview" zoomScaleNormal="85" zoomScaleSheetLayoutView="100" workbookViewId="0">
      <selection activeCell="D4" sqref="D4"/>
    </sheetView>
  </sheetViews>
  <sheetFormatPr baseColWidth="10" defaultColWidth="9.08984375" defaultRowHeight="14.5" x14ac:dyDescent="0.35"/>
  <cols>
    <col min="1" max="1" width="86" customWidth="1"/>
    <col min="2" max="2" width="16.54296875" customWidth="1"/>
    <col min="3" max="3" width="19.08984375" customWidth="1"/>
    <col min="4" max="4" width="28.36328125" customWidth="1"/>
    <col min="5" max="5" width="8.90625" customWidth="1"/>
  </cols>
  <sheetData>
    <row r="1" spans="1:7" ht="15.5" x14ac:dyDescent="0.35">
      <c r="C1" s="3"/>
      <c r="D1" s="3"/>
      <c r="E1" s="3"/>
      <c r="F1" s="3"/>
    </row>
    <row r="2" spans="1:7" ht="15.5" x14ac:dyDescent="0.35">
      <c r="E2" s="3"/>
      <c r="F2" s="3"/>
    </row>
    <row r="3" spans="1:7" ht="15.5" x14ac:dyDescent="0.35">
      <c r="E3" s="3"/>
      <c r="F3" s="3"/>
    </row>
    <row r="4" spans="1:7" ht="18.5" x14ac:dyDescent="0.45">
      <c r="C4" s="24" t="s">
        <v>2</v>
      </c>
      <c r="D4" s="9"/>
      <c r="E4" s="3"/>
      <c r="F4" s="3"/>
    </row>
    <row r="5" spans="1:7" ht="18.5" x14ac:dyDescent="0.45">
      <c r="C5" s="24" t="s">
        <v>147</v>
      </c>
      <c r="D5" s="25"/>
      <c r="E5" s="3"/>
      <c r="F5" s="3"/>
    </row>
    <row r="6" spans="1:7" ht="15.5" x14ac:dyDescent="0.35">
      <c r="E6" s="3"/>
      <c r="F6" s="3"/>
    </row>
    <row r="7" spans="1:7" ht="15.5" x14ac:dyDescent="0.35">
      <c r="E7" s="3"/>
      <c r="F7" s="3"/>
    </row>
    <row r="8" spans="1:7" ht="15.5" x14ac:dyDescent="0.35">
      <c r="E8" s="3"/>
      <c r="F8" s="3"/>
    </row>
    <row r="9" spans="1:7" ht="18.5" x14ac:dyDescent="0.45">
      <c r="C9" s="59" t="s">
        <v>4</v>
      </c>
      <c r="D9" s="59"/>
      <c r="E9" s="7"/>
      <c r="F9" s="3"/>
    </row>
    <row r="10" spans="1:7" ht="18.5" x14ac:dyDescent="0.45">
      <c r="A10" s="24" t="s">
        <v>5</v>
      </c>
      <c r="B10" s="24"/>
      <c r="C10" s="60"/>
      <c r="D10" s="61"/>
      <c r="E10" s="8"/>
      <c r="F10" s="3"/>
    </row>
    <row r="11" spans="1:7" ht="15.65" customHeight="1" x14ac:dyDescent="0.35">
      <c r="A11" s="3" t="s">
        <v>151</v>
      </c>
      <c r="B11" s="3"/>
      <c r="C11" s="62"/>
      <c r="D11" s="63"/>
      <c r="E11" s="3"/>
      <c r="F11" s="4"/>
      <c r="G11" s="3"/>
    </row>
    <row r="12" spans="1:7" ht="15.65" customHeight="1" x14ac:dyDescent="0.35">
      <c r="A12" s="3" t="s">
        <v>3</v>
      </c>
      <c r="B12" s="3"/>
      <c r="C12" s="62"/>
      <c r="D12" s="63"/>
      <c r="F12" s="4"/>
      <c r="G12" s="3"/>
    </row>
    <row r="13" spans="1:7" ht="15.65" customHeight="1" x14ac:dyDescent="0.35">
      <c r="A13" s="3" t="s">
        <v>150</v>
      </c>
      <c r="B13" s="3"/>
      <c r="C13" s="62"/>
      <c r="D13" s="63"/>
      <c r="F13" s="4"/>
      <c r="G13" s="3"/>
    </row>
    <row r="14" spans="1:7" ht="15.75" customHeight="1" x14ac:dyDescent="0.45">
      <c r="A14" s="3"/>
      <c r="B14" s="3"/>
      <c r="C14" s="64"/>
      <c r="D14" s="65"/>
      <c r="E14" s="1"/>
    </row>
    <row r="15" spans="1:7" ht="20.5" x14ac:dyDescent="0.45">
      <c r="A15" s="2"/>
      <c r="B15" s="2"/>
      <c r="C15" s="1"/>
      <c r="D15" s="1"/>
      <c r="E15" s="1"/>
    </row>
    <row r="16" spans="1:7" ht="18.5" x14ac:dyDescent="0.35">
      <c r="A16" s="5" t="s">
        <v>0</v>
      </c>
      <c r="B16" s="5" t="s">
        <v>1</v>
      </c>
      <c r="C16" s="5" t="s">
        <v>144</v>
      </c>
      <c r="D16" s="5" t="s">
        <v>145</v>
      </c>
      <c r="G16" s="3"/>
    </row>
    <row r="17" spans="1:7" ht="21" customHeight="1" x14ac:dyDescent="0.35">
      <c r="A17" s="34"/>
      <c r="B17" s="34"/>
      <c r="C17" s="40"/>
      <c r="D17" s="28"/>
      <c r="G17" s="3"/>
    </row>
    <row r="18" spans="1:7" ht="21" customHeight="1" x14ac:dyDescent="0.35">
      <c r="A18" s="55"/>
      <c r="B18" s="46"/>
      <c r="C18" s="41"/>
      <c r="D18" s="37"/>
      <c r="G18" s="3"/>
    </row>
    <row r="19" spans="1:7" ht="21" customHeight="1" x14ac:dyDescent="0.35">
      <c r="A19" s="53"/>
      <c r="B19" s="46"/>
      <c r="C19" s="41"/>
      <c r="D19" s="37"/>
      <c r="G19" s="4"/>
    </row>
    <row r="20" spans="1:7" ht="21" customHeight="1" x14ac:dyDescent="0.35">
      <c r="A20" s="58"/>
      <c r="B20" s="46"/>
      <c r="C20" s="41"/>
      <c r="D20" s="37"/>
    </row>
    <row r="21" spans="1:7" ht="21" customHeight="1" x14ac:dyDescent="0.35">
      <c r="A21" s="53"/>
      <c r="B21" s="46"/>
      <c r="C21" s="41"/>
      <c r="D21" s="37"/>
    </row>
    <row r="22" spans="1:7" ht="21" customHeight="1" x14ac:dyDescent="0.35">
      <c r="A22" s="56"/>
      <c r="B22" s="46"/>
      <c r="C22" s="41"/>
      <c r="D22" s="37"/>
    </row>
    <row r="23" spans="1:7" ht="21" customHeight="1" x14ac:dyDescent="0.35">
      <c r="A23" s="57"/>
      <c r="B23" s="46"/>
      <c r="C23" s="41"/>
      <c r="D23" s="37"/>
    </row>
    <row r="24" spans="1:7" ht="21" customHeight="1" x14ac:dyDescent="0.35">
      <c r="A24" s="56"/>
      <c r="B24" s="46"/>
      <c r="C24" s="41"/>
      <c r="D24" s="37"/>
    </row>
    <row r="25" spans="1:7" ht="21" customHeight="1" x14ac:dyDescent="0.35">
      <c r="A25" s="56"/>
      <c r="B25" s="46"/>
      <c r="C25" s="41"/>
      <c r="D25" s="37"/>
    </row>
    <row r="26" spans="1:7" ht="21" customHeight="1" x14ac:dyDescent="0.35">
      <c r="A26" s="56"/>
      <c r="B26" s="46"/>
      <c r="C26" s="41"/>
      <c r="D26" s="37"/>
    </row>
    <row r="27" spans="1:7" ht="21" customHeight="1" x14ac:dyDescent="0.4">
      <c r="A27" s="51"/>
      <c r="B27" s="46"/>
      <c r="C27" s="42"/>
      <c r="D27" s="26"/>
    </row>
    <row r="28" spans="1:7" ht="21" customHeight="1" x14ac:dyDescent="0.35">
      <c r="A28" s="53"/>
      <c r="B28" s="46"/>
      <c r="C28" s="41"/>
      <c r="D28" s="37"/>
    </row>
    <row r="29" spans="1:7" ht="21" customHeight="1" x14ac:dyDescent="0.35">
      <c r="A29" s="53"/>
      <c r="B29" s="47"/>
      <c r="C29" s="41"/>
      <c r="D29" s="30"/>
    </row>
    <row r="30" spans="1:7" ht="21" customHeight="1" x14ac:dyDescent="0.35">
      <c r="A30" s="53"/>
      <c r="B30" s="48"/>
      <c r="C30" s="41"/>
      <c r="D30" s="37"/>
    </row>
    <row r="31" spans="1:7" ht="21" customHeight="1" x14ac:dyDescent="0.35">
      <c r="A31" s="53"/>
      <c r="B31" s="48"/>
      <c r="C31" s="41"/>
      <c r="D31" s="30"/>
    </row>
    <row r="32" spans="1:7" ht="21" customHeight="1" x14ac:dyDescent="0.4">
      <c r="A32" s="51"/>
      <c r="B32" s="48"/>
      <c r="C32" s="41"/>
      <c r="D32" s="37"/>
    </row>
    <row r="33" spans="1:6" ht="21" customHeight="1" x14ac:dyDescent="0.35">
      <c r="A33" s="54"/>
      <c r="B33" s="47"/>
      <c r="C33" s="41"/>
      <c r="D33" s="37"/>
    </row>
    <row r="34" spans="1:6" ht="21" customHeight="1" x14ac:dyDescent="0.35">
      <c r="A34" s="54"/>
      <c r="B34" s="49"/>
      <c r="C34" s="41"/>
      <c r="D34" s="30"/>
    </row>
    <row r="35" spans="1:6" ht="21" customHeight="1" x14ac:dyDescent="0.35">
      <c r="A35" s="35"/>
      <c r="B35" s="35"/>
      <c r="C35" s="43"/>
      <c r="D35" s="29"/>
    </row>
    <row r="36" spans="1:6" ht="21" customHeight="1" x14ac:dyDescent="0.35">
      <c r="A36" s="52"/>
      <c r="B36" s="36"/>
      <c r="C36" s="44"/>
      <c r="D36" s="37"/>
    </row>
    <row r="37" spans="1:6" ht="21" customHeight="1" x14ac:dyDescent="0.35">
      <c r="A37" s="38"/>
      <c r="B37" s="50"/>
      <c r="C37" s="45"/>
      <c r="D37" s="27"/>
    </row>
    <row r="38" spans="1:6" ht="27.75" customHeight="1" x14ac:dyDescent="0.35">
      <c r="A38" s="11"/>
      <c r="B38" s="11"/>
      <c r="C38" s="6" t="s">
        <v>6</v>
      </c>
      <c r="D38" s="31">
        <f>SUM(D17:D37)</f>
        <v>0</v>
      </c>
    </row>
    <row r="39" spans="1:6" ht="27.75" customHeight="1" x14ac:dyDescent="0.35">
      <c r="A39" s="12"/>
      <c r="B39" s="12"/>
      <c r="C39" s="6" t="s">
        <v>153</v>
      </c>
      <c r="D39" s="32">
        <f>D38*18%</f>
        <v>0</v>
      </c>
    </row>
    <row r="40" spans="1:6" ht="27.75" customHeight="1" x14ac:dyDescent="0.35">
      <c r="A40" s="12"/>
      <c r="B40" s="12"/>
      <c r="C40" s="6" t="s">
        <v>154</v>
      </c>
      <c r="D40" s="32">
        <f>D38*1%</f>
        <v>0</v>
      </c>
    </row>
    <row r="41" spans="1:6" ht="27.75" customHeight="1" x14ac:dyDescent="0.35">
      <c r="B41" s="10"/>
      <c r="C41" s="6" t="s">
        <v>7</v>
      </c>
      <c r="D41" s="33">
        <f>D38+D39+D40</f>
        <v>0</v>
      </c>
      <c r="E41" s="20"/>
      <c r="F41" s="20"/>
    </row>
    <row r="42" spans="1:6" ht="27.75" customHeight="1" x14ac:dyDescent="0.35">
      <c r="B42" s="19"/>
      <c r="C42" s="6"/>
      <c r="D42" s="13"/>
    </row>
    <row r="43" spans="1:6" ht="27.75" customHeight="1" x14ac:dyDescent="0.35">
      <c r="B43" s="3"/>
    </row>
    <row r="44" spans="1:6" ht="27.75" customHeight="1" x14ac:dyDescent="0.35">
      <c r="B44" s="15"/>
    </row>
    <row r="45" spans="1:6" ht="15.5" x14ac:dyDescent="0.35">
      <c r="A45" s="10" t="s">
        <v>149</v>
      </c>
    </row>
    <row r="46" spans="1:6" ht="15.5" x14ac:dyDescent="0.35">
      <c r="A46" s="19" t="str">
        <f>Calculs!A2</f>
        <v xml:space="preserve"> Francs Cfa.</v>
      </c>
      <c r="B46" s="15"/>
    </row>
    <row r="47" spans="1:6" ht="15.5" x14ac:dyDescent="0.35">
      <c r="A47" s="3"/>
      <c r="B47" s="3"/>
    </row>
    <row r="48" spans="1:6" ht="31" x14ac:dyDescent="0.35">
      <c r="A48" s="15" t="s">
        <v>152</v>
      </c>
      <c r="B48" s="14"/>
    </row>
    <row r="49" spans="1:1" ht="31.5" customHeight="1" x14ac:dyDescent="0.35"/>
    <row r="50" spans="1:1" ht="30" customHeight="1" x14ac:dyDescent="0.35">
      <c r="A50" s="39" t="s">
        <v>146</v>
      </c>
    </row>
    <row r="51" spans="1:1" x14ac:dyDescent="0.35">
      <c r="A51" t="s">
        <v>148</v>
      </c>
    </row>
    <row r="52" spans="1:1" ht="31.5" customHeight="1" x14ac:dyDescent="0.35"/>
  </sheetData>
  <mergeCells count="2">
    <mergeCell ref="C9:D9"/>
    <mergeCell ref="C10:D14"/>
  </mergeCells>
  <pageMargins left="0.70866141732283472" right="0.70866141732283472" top="0.74803149606299213" bottom="0.74803149606299213" header="0.31496062992125984" footer="0.31496062992125984"/>
  <pageSetup paperSize="9" scale="58" orientation="portrait" horizontalDpi="4294967293" r:id="rId1"/>
  <headerFooter>
    <oddFooter>&amp;CS.U.A.R.L. au Capital de 2.000.000 F.CFA
BP 15844 Libreville - Tél. : 062 92 21 50 -  R.C.C.M 2013B14457 - N.I.F. : 032 483 N
Compte BGFI IBAN : GA21 4000304100 41026780011 31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024"/>
  <sheetViews>
    <sheetView workbookViewId="0">
      <selection activeCell="G21" sqref="G21"/>
    </sheetView>
  </sheetViews>
  <sheetFormatPr baseColWidth="10" defaultColWidth="8.90625" defaultRowHeight="14.5" x14ac:dyDescent="0.35"/>
  <cols>
    <col min="5" max="5" width="13.453125" bestFit="1" customWidth="1"/>
    <col min="6" max="6" width="9.90625" bestFit="1" customWidth="1"/>
    <col min="7" max="7" width="36.90625" bestFit="1" customWidth="1"/>
    <col min="9" max="9" width="11" bestFit="1" customWidth="1"/>
    <col min="10" max="10" width="8.6328125" bestFit="1" customWidth="1"/>
    <col min="11" max="11" width="20.6328125" bestFit="1" customWidth="1"/>
    <col min="15" max="15" width="26" bestFit="1" customWidth="1"/>
  </cols>
  <sheetData>
    <row r="2" spans="1:20" x14ac:dyDescent="0.35">
      <c r="A2" t="str">
        <f>PROPER(C19)</f>
        <v xml:space="preserve"> Francs Cfa.</v>
      </c>
      <c r="B2" s="17"/>
      <c r="C2" s="17"/>
      <c r="D2" s="17"/>
      <c r="E2" s="17"/>
      <c r="F2" s="17"/>
      <c r="G2" s="17"/>
      <c r="H2" s="16">
        <v>1</v>
      </c>
      <c r="I2" s="16" t="s">
        <v>114</v>
      </c>
      <c r="J2" s="16"/>
      <c r="K2" s="17" t="str">
        <f>(I2)</f>
        <v xml:space="preserve"> un</v>
      </c>
      <c r="L2" s="16">
        <v>100</v>
      </c>
      <c r="M2" s="16" t="s">
        <v>112</v>
      </c>
      <c r="N2" s="16"/>
      <c r="O2" s="16">
        <v>100000</v>
      </c>
      <c r="P2" s="16" t="s">
        <v>125</v>
      </c>
      <c r="Q2" s="16" t="s">
        <v>113</v>
      </c>
      <c r="R2" s="17"/>
      <c r="S2" s="17"/>
      <c r="T2" s="17"/>
    </row>
    <row r="3" spans="1:20" x14ac:dyDescent="0.35">
      <c r="B3" s="17"/>
      <c r="C3" s="17"/>
      <c r="D3" s="17"/>
      <c r="E3" s="18">
        <f>ROUND(Facture!D41,0)</f>
        <v>0</v>
      </c>
      <c r="F3" s="17"/>
      <c r="G3" s="22"/>
      <c r="H3" s="16">
        <v>2</v>
      </c>
      <c r="I3" s="16" t="s">
        <v>16</v>
      </c>
      <c r="J3" s="16"/>
      <c r="K3" s="17" t="str">
        <f t="shared" ref="K3:K22" si="0">(I3)</f>
        <v xml:space="preserve"> deux</v>
      </c>
      <c r="L3" s="16">
        <v>200</v>
      </c>
      <c r="M3" s="16" t="s">
        <v>126</v>
      </c>
      <c r="N3" s="16"/>
      <c r="O3" s="16">
        <v>200000</v>
      </c>
      <c r="P3" s="16" t="s">
        <v>126</v>
      </c>
      <c r="Q3" s="16" t="s">
        <v>127</v>
      </c>
      <c r="R3" s="17"/>
      <c r="S3" s="17"/>
      <c r="T3" s="17"/>
    </row>
    <row r="4" spans="1:20" x14ac:dyDescent="0.35">
      <c r="B4" s="17"/>
      <c r="C4" s="17"/>
      <c r="D4" s="17"/>
      <c r="E4" s="18">
        <f>ROUNDDOWN($E$3, -2)</f>
        <v>0</v>
      </c>
      <c r="F4" s="23">
        <f>(E3-E4)</f>
        <v>0</v>
      </c>
      <c r="G4" s="17"/>
      <c r="H4" s="16">
        <v>3</v>
      </c>
      <c r="I4" s="16" t="s">
        <v>20</v>
      </c>
      <c r="J4" s="16"/>
      <c r="K4" s="17" t="str">
        <f t="shared" si="0"/>
        <v xml:space="preserve"> trois</v>
      </c>
      <c r="L4" s="16">
        <v>300</v>
      </c>
      <c r="M4" s="16" t="s">
        <v>128</v>
      </c>
      <c r="N4" s="16"/>
      <c r="O4" s="16">
        <v>300000</v>
      </c>
      <c r="P4" s="16" t="s">
        <v>128</v>
      </c>
      <c r="Q4" s="16" t="s">
        <v>129</v>
      </c>
      <c r="R4" s="17"/>
      <c r="S4" s="17"/>
      <c r="T4" s="17"/>
    </row>
    <row r="5" spans="1:20" x14ac:dyDescent="0.35">
      <c r="B5" s="17"/>
      <c r="C5" s="17"/>
      <c r="D5" s="17"/>
      <c r="E5" s="18">
        <f>ROUNDDOWN(E4, -3)</f>
        <v>0</v>
      </c>
      <c r="F5" s="18">
        <f>(E3-E5)</f>
        <v>0</v>
      </c>
      <c r="G5" s="17"/>
      <c r="H5" s="16">
        <v>4</v>
      </c>
      <c r="I5" s="16" t="s">
        <v>24</v>
      </c>
      <c r="J5" s="16"/>
      <c r="K5" s="17" t="str">
        <f t="shared" si="0"/>
        <v xml:space="preserve"> quatre</v>
      </c>
      <c r="L5" s="16">
        <v>400</v>
      </c>
      <c r="M5" s="16" t="s">
        <v>130</v>
      </c>
      <c r="N5" s="16"/>
      <c r="O5" s="16">
        <v>400000</v>
      </c>
      <c r="P5" s="16" t="s">
        <v>130</v>
      </c>
      <c r="Q5" s="16" t="s">
        <v>131</v>
      </c>
      <c r="R5" s="17"/>
      <c r="S5" s="17"/>
      <c r="T5" s="17"/>
    </row>
    <row r="6" spans="1:20" x14ac:dyDescent="0.35">
      <c r="B6" s="17"/>
      <c r="C6" s="17"/>
      <c r="D6" s="17"/>
      <c r="E6" s="18">
        <f>ROUNDDOWN(E5, -3)</f>
        <v>0</v>
      </c>
      <c r="F6" s="18">
        <f>(E4-E6)</f>
        <v>0</v>
      </c>
      <c r="G6" s="17"/>
      <c r="H6" s="16">
        <v>5</v>
      </c>
      <c r="I6" s="16" t="s">
        <v>11</v>
      </c>
      <c r="J6" s="16"/>
      <c r="K6" s="17" t="str">
        <f t="shared" si="0"/>
        <v xml:space="preserve"> cinq</v>
      </c>
      <c r="L6" s="16">
        <v>500</v>
      </c>
      <c r="M6" s="16" t="s">
        <v>132</v>
      </c>
      <c r="N6" s="16"/>
      <c r="O6" s="16">
        <v>500000</v>
      </c>
      <c r="P6" s="16" t="s">
        <v>132</v>
      </c>
      <c r="Q6" s="16" t="s">
        <v>133</v>
      </c>
      <c r="R6" s="17"/>
      <c r="S6" s="17"/>
      <c r="T6" s="17"/>
    </row>
    <row r="7" spans="1:20" x14ac:dyDescent="0.35">
      <c r="B7" s="17"/>
      <c r="C7" s="17"/>
      <c r="D7" s="17"/>
      <c r="E7" s="18">
        <f>ROUNDDOWN(E6, -6)</f>
        <v>0</v>
      </c>
      <c r="F7" s="18">
        <f>(E5-E7)</f>
        <v>0</v>
      </c>
      <c r="G7" s="17"/>
      <c r="H7" s="16">
        <v>6</v>
      </c>
      <c r="I7" s="16" t="s">
        <v>17</v>
      </c>
      <c r="J7" s="16"/>
      <c r="K7" s="17" t="str">
        <f t="shared" si="0"/>
        <v xml:space="preserve"> six </v>
      </c>
      <c r="L7" s="16">
        <v>600</v>
      </c>
      <c r="M7" s="16" t="s">
        <v>134</v>
      </c>
      <c r="N7" s="16"/>
      <c r="O7" s="16">
        <v>600000</v>
      </c>
      <c r="P7" s="16" t="s">
        <v>134</v>
      </c>
      <c r="Q7" s="16" t="s">
        <v>135</v>
      </c>
      <c r="R7" s="17"/>
      <c r="S7" s="17"/>
      <c r="T7" s="17"/>
    </row>
    <row r="8" spans="1:20" x14ac:dyDescent="0.35">
      <c r="B8" s="17"/>
      <c r="C8" s="17"/>
      <c r="D8" s="17"/>
      <c r="E8" s="18">
        <f>ROUNDDOWN(E7,-5)</f>
        <v>0</v>
      </c>
      <c r="F8" s="17"/>
      <c r="G8" s="17" t="str">
        <f>IF(F9&gt;0,VLOOKUP(F9,O2:Q10,2),"")</f>
        <v/>
      </c>
      <c r="H8" s="16">
        <v>7</v>
      </c>
      <c r="I8" s="16" t="s">
        <v>21</v>
      </c>
      <c r="J8" s="16"/>
      <c r="K8" s="17" t="str">
        <f t="shared" si="0"/>
        <v xml:space="preserve"> sept</v>
      </c>
      <c r="L8" s="16">
        <v>700</v>
      </c>
      <c r="M8" s="16" t="s">
        <v>136</v>
      </c>
      <c r="N8" s="16"/>
      <c r="O8" s="16">
        <v>700000</v>
      </c>
      <c r="P8" s="16" t="s">
        <v>136</v>
      </c>
      <c r="Q8" s="16" t="s">
        <v>137</v>
      </c>
      <c r="R8" s="17"/>
      <c r="S8" s="17"/>
      <c r="T8" s="17"/>
    </row>
    <row r="9" spans="1:20" x14ac:dyDescent="0.35">
      <c r="B9" s="17"/>
      <c r="C9" s="17"/>
      <c r="D9" s="17"/>
      <c r="E9" s="18">
        <f>ROUNDDOWN(E8,-6)</f>
        <v>0</v>
      </c>
      <c r="F9" s="18">
        <f>(E8-E9)</f>
        <v>0</v>
      </c>
      <c r="G9" s="17"/>
      <c r="H9" s="16">
        <v>8</v>
      </c>
      <c r="I9" s="16" t="s">
        <v>25</v>
      </c>
      <c r="J9" s="16"/>
      <c r="K9" s="17" t="str">
        <f t="shared" si="0"/>
        <v xml:space="preserve"> huit</v>
      </c>
      <c r="L9" s="16">
        <v>800</v>
      </c>
      <c r="M9" s="16" t="s">
        <v>138</v>
      </c>
      <c r="N9" s="16"/>
      <c r="O9" s="16">
        <v>800000</v>
      </c>
      <c r="P9" s="16" t="s">
        <v>138</v>
      </c>
      <c r="Q9" s="16" t="s">
        <v>139</v>
      </c>
      <c r="R9" s="17"/>
      <c r="S9" s="17"/>
      <c r="T9" s="17"/>
    </row>
    <row r="10" spans="1:20" x14ac:dyDescent="0.35">
      <c r="B10" s="17"/>
      <c r="C10" s="17"/>
      <c r="D10" s="17"/>
      <c r="E10" s="18">
        <f>ROUNDDOWN(E9, -7)</f>
        <v>0</v>
      </c>
      <c r="F10" s="18">
        <f>(E9-E10)</f>
        <v>0</v>
      </c>
      <c r="G10" s="17"/>
      <c r="H10" s="16">
        <v>9</v>
      </c>
      <c r="I10" s="16" t="s">
        <v>28</v>
      </c>
      <c r="J10" s="16"/>
      <c r="K10" s="17" t="str">
        <f t="shared" si="0"/>
        <v xml:space="preserve"> neuf</v>
      </c>
      <c r="L10" s="16">
        <v>900</v>
      </c>
      <c r="M10" s="16" t="s">
        <v>140</v>
      </c>
      <c r="N10" s="16"/>
      <c r="O10" s="16">
        <v>900000</v>
      </c>
      <c r="P10" s="16" t="s">
        <v>140</v>
      </c>
      <c r="Q10" s="16" t="s">
        <v>141</v>
      </c>
      <c r="R10" s="17"/>
      <c r="S10" s="17"/>
      <c r="T10" s="17"/>
    </row>
    <row r="11" spans="1:20" x14ac:dyDescent="0.35">
      <c r="B11" s="17"/>
      <c r="C11" s="17"/>
      <c r="D11" s="17"/>
      <c r="E11" s="18">
        <f>ROUNDDOWN(E10,-8)</f>
        <v>0</v>
      </c>
      <c r="F11" s="18">
        <f>(E9-E11)</f>
        <v>0</v>
      </c>
      <c r="G11" s="17"/>
      <c r="H11" s="16">
        <v>10</v>
      </c>
      <c r="I11" s="16" t="s">
        <v>39</v>
      </c>
      <c r="J11" s="16"/>
      <c r="K11" s="17" t="str">
        <f t="shared" si="0"/>
        <v xml:space="preserve"> dix</v>
      </c>
      <c r="L11" s="17"/>
      <c r="M11" s="17"/>
      <c r="N11" s="17"/>
      <c r="O11" s="17"/>
      <c r="P11" s="17"/>
      <c r="Q11" s="17"/>
      <c r="R11" s="17"/>
      <c r="S11" s="17"/>
      <c r="T11" s="17"/>
    </row>
    <row r="12" spans="1:20" x14ac:dyDescent="0.35">
      <c r="B12" s="17"/>
      <c r="C12" s="17"/>
      <c r="D12" s="17"/>
      <c r="E12" s="18">
        <f>ROUNDDOWN(E11,-5)</f>
        <v>0</v>
      </c>
      <c r="F12" s="18">
        <f>(E11-E12)</f>
        <v>0</v>
      </c>
      <c r="G12" s="17"/>
      <c r="H12" s="16">
        <v>11</v>
      </c>
      <c r="I12" s="16" t="s">
        <v>42</v>
      </c>
      <c r="J12" s="16"/>
      <c r="K12" s="17" t="str">
        <f t="shared" si="0"/>
        <v xml:space="preserve"> onze</v>
      </c>
      <c r="L12" s="16">
        <v>1000</v>
      </c>
      <c r="M12" s="17" t="str">
        <f>IF(G8&gt;0," un mille"," mille")</f>
        <v xml:space="preserve"> un mille</v>
      </c>
      <c r="N12" s="17"/>
      <c r="O12" s="17" t="str">
        <f>(M12)</f>
        <v xml:space="preserve"> un mille</v>
      </c>
      <c r="P12" s="16">
        <v>1000000</v>
      </c>
      <c r="Q12" s="16" t="s">
        <v>142</v>
      </c>
      <c r="R12" s="16"/>
      <c r="S12" s="17" t="s">
        <v>143</v>
      </c>
      <c r="T12" s="17" t="str">
        <f>PROPER(S12)</f>
        <v xml:space="preserve"> Un Million</v>
      </c>
    </row>
    <row r="13" spans="1:20" x14ac:dyDescent="0.35">
      <c r="B13" s="17"/>
      <c r="C13" s="17"/>
      <c r="D13" s="17"/>
      <c r="E13" s="17"/>
      <c r="F13" s="17"/>
      <c r="G13" s="16" t="s">
        <v>8</v>
      </c>
      <c r="H13" s="16">
        <v>12</v>
      </c>
      <c r="I13" s="16" t="s">
        <v>44</v>
      </c>
      <c r="J13" s="16"/>
      <c r="K13" s="17" t="str">
        <f t="shared" si="0"/>
        <v xml:space="preserve"> douze</v>
      </c>
      <c r="L13" s="16">
        <v>2000</v>
      </c>
      <c r="M13" s="16" t="s">
        <v>16</v>
      </c>
      <c r="N13" s="16" t="s">
        <v>14</v>
      </c>
      <c r="O13" s="17" t="str">
        <f>CONCATENATE(M13,N13)</f>
        <v xml:space="preserve"> deux mille</v>
      </c>
      <c r="P13" s="16">
        <v>2000000</v>
      </c>
      <c r="Q13" s="16" t="s">
        <v>16</v>
      </c>
      <c r="R13" s="16" t="s">
        <v>15</v>
      </c>
      <c r="S13" s="17" t="str">
        <f>CONCATENATE(Q13,R13)</f>
        <v xml:space="preserve"> deux millions</v>
      </c>
      <c r="T13" s="17"/>
    </row>
    <row r="14" spans="1:20" x14ac:dyDescent="0.35">
      <c r="B14" s="17"/>
      <c r="C14" s="17"/>
      <c r="D14" s="17"/>
      <c r="E14" s="17"/>
      <c r="F14" s="17"/>
      <c r="G14" s="17"/>
      <c r="H14" s="16">
        <v>13</v>
      </c>
      <c r="I14" s="16" t="s">
        <v>46</v>
      </c>
      <c r="J14" s="16"/>
      <c r="K14" s="17" t="str">
        <f t="shared" si="0"/>
        <v xml:space="preserve"> treize</v>
      </c>
      <c r="L14" s="16">
        <v>3000</v>
      </c>
      <c r="M14" s="16" t="s">
        <v>20</v>
      </c>
      <c r="N14" s="16" t="s">
        <v>14</v>
      </c>
      <c r="O14" s="17" t="str">
        <f t="shared" ref="O14:O77" si="1">CONCATENATE(M14,N14)</f>
        <v xml:space="preserve"> trois mille</v>
      </c>
      <c r="P14" s="16">
        <v>3000000</v>
      </c>
      <c r="Q14" s="16" t="s">
        <v>20</v>
      </c>
      <c r="R14" s="16" t="s">
        <v>15</v>
      </c>
      <c r="S14" s="17" t="str">
        <f t="shared" ref="S14:S77" si="2">CONCATENATE(Q14,R14)</f>
        <v xml:space="preserve"> trois millions</v>
      </c>
      <c r="T14" s="17"/>
    </row>
    <row r="15" spans="1:20" x14ac:dyDescent="0.35">
      <c r="B15" s="17"/>
      <c r="C15" s="17"/>
      <c r="D15" s="17" t="str">
        <f>IF(F11&gt;0,VLOOKUP(F11,P12:S110,4),"")</f>
        <v/>
      </c>
      <c r="E15" s="17" t="str">
        <f>IF(F7&gt;0,VLOOKUP(F7,B26:G1024,6),"")</f>
        <v/>
      </c>
      <c r="F15" s="17" t="str">
        <f>IF(F6&gt;0,VLOOKUP(F6,L2:M10,2),"")</f>
        <v/>
      </c>
      <c r="G15" s="21" t="str">
        <f>IF(F4&gt;0,VLOOKUP(F4,H2:K100,4),"")</f>
        <v/>
      </c>
      <c r="H15" s="16">
        <v>14</v>
      </c>
      <c r="I15" s="16" t="s">
        <v>48</v>
      </c>
      <c r="J15" s="16"/>
      <c r="K15" s="17" t="str">
        <f t="shared" si="0"/>
        <v xml:space="preserve"> quatorze</v>
      </c>
      <c r="L15" s="16">
        <v>4000</v>
      </c>
      <c r="M15" s="16" t="s">
        <v>24</v>
      </c>
      <c r="N15" s="16" t="s">
        <v>14</v>
      </c>
      <c r="O15" s="17" t="str">
        <f t="shared" si="1"/>
        <v xml:space="preserve"> quatre mille</v>
      </c>
      <c r="P15" s="16">
        <v>4000000</v>
      </c>
      <c r="Q15" s="16" t="s">
        <v>24</v>
      </c>
      <c r="R15" s="16" t="s">
        <v>15</v>
      </c>
      <c r="S15" s="17" t="str">
        <f t="shared" si="2"/>
        <v xml:space="preserve"> quatre millions</v>
      </c>
      <c r="T15" s="17"/>
    </row>
    <row r="16" spans="1:20" x14ac:dyDescent="0.35">
      <c r="B16" s="17"/>
      <c r="C16" s="17"/>
      <c r="D16" s="17"/>
      <c r="E16" s="17"/>
      <c r="F16" s="17"/>
      <c r="G16" s="17"/>
      <c r="H16" s="16">
        <v>15</v>
      </c>
      <c r="I16" s="16" t="s">
        <v>13</v>
      </c>
      <c r="J16" s="16"/>
      <c r="K16" s="17" t="str">
        <f t="shared" si="0"/>
        <v xml:space="preserve"> quinze</v>
      </c>
      <c r="L16" s="16">
        <v>5000</v>
      </c>
      <c r="M16" s="16" t="s">
        <v>11</v>
      </c>
      <c r="N16" s="16" t="s">
        <v>14</v>
      </c>
      <c r="O16" s="17" t="str">
        <f t="shared" si="1"/>
        <v xml:space="preserve"> cinq mille</v>
      </c>
      <c r="P16" s="16">
        <v>5000000</v>
      </c>
      <c r="Q16" s="16" t="s">
        <v>11</v>
      </c>
      <c r="R16" s="16" t="s">
        <v>15</v>
      </c>
      <c r="S16" s="17" t="str">
        <f t="shared" si="2"/>
        <v xml:space="preserve"> cinq millions</v>
      </c>
      <c r="T16" s="17"/>
    </row>
    <row r="17" spans="2:20" x14ac:dyDescent="0.35">
      <c r="B17" s="17"/>
      <c r="C17" s="17"/>
      <c r="D17" s="17"/>
      <c r="E17" s="17"/>
      <c r="F17" s="17"/>
      <c r="G17" s="17"/>
      <c r="H17" s="16">
        <v>16</v>
      </c>
      <c r="I17" s="16" t="s">
        <v>19</v>
      </c>
      <c r="J17" s="16"/>
      <c r="K17" s="17" t="str">
        <f t="shared" si="0"/>
        <v xml:space="preserve"> seize</v>
      </c>
      <c r="L17" s="16">
        <v>6000</v>
      </c>
      <c r="M17" s="16" t="s">
        <v>17</v>
      </c>
      <c r="N17" s="16" t="s">
        <v>14</v>
      </c>
      <c r="O17" s="17" t="str">
        <f t="shared" si="1"/>
        <v xml:space="preserve"> six  mille</v>
      </c>
      <c r="P17" s="16">
        <v>6000000</v>
      </c>
      <c r="Q17" s="16" t="s">
        <v>17</v>
      </c>
      <c r="R17" s="16" t="s">
        <v>15</v>
      </c>
      <c r="S17" s="17" t="str">
        <f t="shared" si="2"/>
        <v xml:space="preserve"> six  millions</v>
      </c>
      <c r="T17" s="17"/>
    </row>
    <row r="18" spans="2:20" x14ac:dyDescent="0.35">
      <c r="B18" s="17"/>
      <c r="C18" s="17"/>
      <c r="D18" s="17"/>
      <c r="E18" s="17"/>
      <c r="F18" s="17"/>
      <c r="G18" s="17"/>
      <c r="H18" s="16">
        <v>17</v>
      </c>
      <c r="I18" s="16" t="s">
        <v>23</v>
      </c>
      <c r="J18" s="16"/>
      <c r="K18" s="17" t="str">
        <f t="shared" si="0"/>
        <v xml:space="preserve"> dix sept</v>
      </c>
      <c r="L18" s="16">
        <v>7000</v>
      </c>
      <c r="M18" s="16" t="s">
        <v>21</v>
      </c>
      <c r="N18" s="16" t="s">
        <v>14</v>
      </c>
      <c r="O18" s="17" t="str">
        <f t="shared" si="1"/>
        <v xml:space="preserve"> sept mille</v>
      </c>
      <c r="P18" s="16">
        <v>7000000</v>
      </c>
      <c r="Q18" s="16" t="s">
        <v>21</v>
      </c>
      <c r="R18" s="16" t="s">
        <v>15</v>
      </c>
      <c r="S18" s="17" t="str">
        <f t="shared" si="2"/>
        <v xml:space="preserve"> sept millions</v>
      </c>
      <c r="T18" s="17"/>
    </row>
    <row r="19" spans="2:20" x14ac:dyDescent="0.35">
      <c r="B19" s="17"/>
      <c r="C19" s="17" t="str">
        <f>CONCATENATE(D15,E15,F15,G15,G13)</f>
        <v xml:space="preserve"> Francs CFA.</v>
      </c>
      <c r="D19" s="17"/>
      <c r="E19" s="17"/>
      <c r="F19" s="17"/>
      <c r="G19" s="17"/>
      <c r="H19" s="16">
        <v>18</v>
      </c>
      <c r="I19" s="16" t="s">
        <v>27</v>
      </c>
      <c r="J19" s="16"/>
      <c r="K19" s="17" t="str">
        <f t="shared" si="0"/>
        <v xml:space="preserve"> dix huit</v>
      </c>
      <c r="L19" s="16">
        <v>8000</v>
      </c>
      <c r="M19" s="16" t="s">
        <v>25</v>
      </c>
      <c r="N19" s="16" t="s">
        <v>14</v>
      </c>
      <c r="O19" s="17" t="str">
        <f t="shared" si="1"/>
        <v xml:space="preserve"> huit mille</v>
      </c>
      <c r="P19" s="16">
        <v>8000000</v>
      </c>
      <c r="Q19" s="16" t="s">
        <v>25</v>
      </c>
      <c r="R19" s="16" t="s">
        <v>15</v>
      </c>
      <c r="S19" s="17" t="str">
        <f t="shared" si="2"/>
        <v xml:space="preserve"> huit millions</v>
      </c>
      <c r="T19" s="17"/>
    </row>
    <row r="20" spans="2:20" x14ac:dyDescent="0.35">
      <c r="B20" s="17"/>
      <c r="C20" s="17"/>
      <c r="D20" s="17"/>
      <c r="E20" s="17"/>
      <c r="F20" s="17"/>
      <c r="G20" s="17"/>
      <c r="H20" s="16">
        <v>19</v>
      </c>
      <c r="I20" s="16" t="s">
        <v>30</v>
      </c>
      <c r="J20" s="16"/>
      <c r="K20" s="17" t="str">
        <f t="shared" si="0"/>
        <v xml:space="preserve"> dix neuf</v>
      </c>
      <c r="L20" s="16">
        <v>9000</v>
      </c>
      <c r="M20" s="16" t="s">
        <v>28</v>
      </c>
      <c r="N20" s="16" t="s">
        <v>14</v>
      </c>
      <c r="O20" s="17" t="str">
        <f t="shared" si="1"/>
        <v xml:space="preserve"> neuf mille</v>
      </c>
      <c r="P20" s="16">
        <v>9000000</v>
      </c>
      <c r="Q20" s="16" t="s">
        <v>28</v>
      </c>
      <c r="R20" s="16" t="s">
        <v>15</v>
      </c>
      <c r="S20" s="17" t="str">
        <f t="shared" si="2"/>
        <v xml:space="preserve"> neuf millions</v>
      </c>
      <c r="T20" s="17"/>
    </row>
    <row r="21" spans="2:20" x14ac:dyDescent="0.35">
      <c r="B21" s="17"/>
      <c r="C21" s="17"/>
      <c r="D21" s="17"/>
      <c r="E21" s="17"/>
      <c r="F21" s="17"/>
      <c r="G21" s="17"/>
      <c r="H21" s="16">
        <v>20</v>
      </c>
      <c r="I21" s="16" t="s">
        <v>10</v>
      </c>
      <c r="J21" s="16"/>
      <c r="K21" s="17" t="str">
        <f t="shared" si="0"/>
        <v xml:space="preserve"> vingt</v>
      </c>
      <c r="L21" s="16">
        <v>10000</v>
      </c>
      <c r="M21" s="16" t="s">
        <v>39</v>
      </c>
      <c r="N21" s="16" t="s">
        <v>14</v>
      </c>
      <c r="O21" s="17" t="str">
        <f t="shared" si="1"/>
        <v xml:space="preserve"> dix mille</v>
      </c>
      <c r="P21" s="16">
        <v>10000000</v>
      </c>
      <c r="Q21" s="16" t="s">
        <v>39</v>
      </c>
      <c r="R21" s="16" t="s">
        <v>15</v>
      </c>
      <c r="S21" s="17" t="str">
        <f t="shared" si="2"/>
        <v xml:space="preserve"> dix millions</v>
      </c>
      <c r="T21" s="17"/>
    </row>
    <row r="22" spans="2:20" x14ac:dyDescent="0.35">
      <c r="B22" s="17"/>
      <c r="C22" s="17"/>
      <c r="D22" s="17"/>
      <c r="E22" s="17"/>
      <c r="F22" s="17"/>
      <c r="G22" s="17"/>
      <c r="H22" s="16">
        <v>21</v>
      </c>
      <c r="I22" s="16" t="s">
        <v>34</v>
      </c>
      <c r="J22" s="16"/>
      <c r="K22" s="17" t="str">
        <f t="shared" si="0"/>
        <v xml:space="preserve"> vingt et un</v>
      </c>
      <c r="L22" s="16">
        <v>11000</v>
      </c>
      <c r="M22" s="16" t="s">
        <v>42</v>
      </c>
      <c r="N22" s="16" t="s">
        <v>14</v>
      </c>
      <c r="O22" s="17" t="str">
        <f t="shared" si="1"/>
        <v xml:space="preserve"> onze mille</v>
      </c>
      <c r="P22" s="16">
        <v>11000000</v>
      </c>
      <c r="Q22" s="16" t="s">
        <v>42</v>
      </c>
      <c r="R22" s="16" t="s">
        <v>15</v>
      </c>
      <c r="S22" s="17" t="str">
        <f t="shared" si="2"/>
        <v xml:space="preserve"> onze millions</v>
      </c>
      <c r="T22" s="17"/>
    </row>
    <row r="23" spans="2:20" x14ac:dyDescent="0.35">
      <c r="B23" s="17"/>
      <c r="C23" s="17"/>
      <c r="D23" s="17"/>
      <c r="E23" s="17"/>
      <c r="F23" s="17"/>
      <c r="G23" s="17"/>
      <c r="H23" s="16">
        <v>22</v>
      </c>
      <c r="I23" s="16" t="s">
        <v>10</v>
      </c>
      <c r="J23" s="16" t="s">
        <v>16</v>
      </c>
      <c r="K23" s="17" t="str">
        <f>CONCATENATE(I23,J23)</f>
        <v xml:space="preserve"> vingt deux</v>
      </c>
      <c r="L23" s="16">
        <v>12000</v>
      </c>
      <c r="M23" s="16" t="s">
        <v>44</v>
      </c>
      <c r="N23" s="16" t="s">
        <v>14</v>
      </c>
      <c r="O23" s="17" t="str">
        <f t="shared" si="1"/>
        <v xml:space="preserve"> douze mille</v>
      </c>
      <c r="P23" s="16">
        <v>12000000</v>
      </c>
      <c r="Q23" s="16" t="s">
        <v>44</v>
      </c>
      <c r="R23" s="16" t="s">
        <v>15</v>
      </c>
      <c r="S23" s="17" t="str">
        <f t="shared" si="2"/>
        <v xml:space="preserve"> douze millions</v>
      </c>
      <c r="T23" s="17"/>
    </row>
    <row r="24" spans="2:20" x14ac:dyDescent="0.35">
      <c r="B24" s="17"/>
      <c r="C24" s="17"/>
      <c r="D24" s="17"/>
      <c r="E24" s="17"/>
      <c r="F24" s="17"/>
      <c r="G24" s="17"/>
      <c r="H24" s="16">
        <v>23</v>
      </c>
      <c r="I24" s="16" t="s">
        <v>10</v>
      </c>
      <c r="J24" s="16" t="s">
        <v>20</v>
      </c>
      <c r="K24" s="17" t="str">
        <f t="shared" ref="K24:K87" si="3">CONCATENATE(I24,J24)</f>
        <v xml:space="preserve"> vingt trois</v>
      </c>
      <c r="L24" s="16">
        <v>13000</v>
      </c>
      <c r="M24" s="16" t="s">
        <v>46</v>
      </c>
      <c r="N24" s="16" t="s">
        <v>14</v>
      </c>
      <c r="O24" s="17" t="str">
        <f t="shared" si="1"/>
        <v xml:space="preserve"> treize mille</v>
      </c>
      <c r="P24" s="16">
        <v>13000000</v>
      </c>
      <c r="Q24" s="16" t="s">
        <v>46</v>
      </c>
      <c r="R24" s="16" t="s">
        <v>15</v>
      </c>
      <c r="S24" s="17" t="str">
        <f t="shared" si="2"/>
        <v xml:space="preserve"> treize millions</v>
      </c>
      <c r="T24" s="17"/>
    </row>
    <row r="25" spans="2:20" x14ac:dyDescent="0.35">
      <c r="B25" s="17"/>
      <c r="C25" s="17"/>
      <c r="D25" s="17"/>
      <c r="E25" s="17"/>
      <c r="F25" s="17"/>
      <c r="G25" s="17"/>
      <c r="H25" s="16">
        <v>24</v>
      </c>
      <c r="I25" s="16" t="s">
        <v>10</v>
      </c>
      <c r="J25" s="16" t="s">
        <v>24</v>
      </c>
      <c r="K25" s="17" t="str">
        <f t="shared" si="3"/>
        <v xml:space="preserve"> vingt quatre</v>
      </c>
      <c r="L25" s="16">
        <v>14000</v>
      </c>
      <c r="M25" s="16" t="s">
        <v>48</v>
      </c>
      <c r="N25" s="16" t="s">
        <v>14</v>
      </c>
      <c r="O25" s="17" t="str">
        <f t="shared" si="1"/>
        <v xml:space="preserve"> quatorze mille</v>
      </c>
      <c r="P25" s="16">
        <v>14000000</v>
      </c>
      <c r="Q25" s="16" t="s">
        <v>48</v>
      </c>
      <c r="R25" s="16" t="s">
        <v>15</v>
      </c>
      <c r="S25" s="17" t="str">
        <f t="shared" si="2"/>
        <v xml:space="preserve"> quatorze millions</v>
      </c>
      <c r="T25" s="17"/>
    </row>
    <row r="26" spans="2:20" x14ac:dyDescent="0.35">
      <c r="B26" s="16">
        <v>1000</v>
      </c>
      <c r="C26" s="16" t="s">
        <v>9</v>
      </c>
      <c r="D26" s="17"/>
      <c r="E26" s="17"/>
      <c r="F26" s="17"/>
      <c r="G26" s="17" t="str">
        <f>(C26)</f>
        <v>mille</v>
      </c>
      <c r="H26" s="16">
        <v>25</v>
      </c>
      <c r="I26" s="16" t="s">
        <v>10</v>
      </c>
      <c r="J26" s="16" t="s">
        <v>11</v>
      </c>
      <c r="K26" s="17" t="str">
        <f t="shared" si="3"/>
        <v xml:space="preserve"> vingt cinq</v>
      </c>
      <c r="L26" s="16">
        <v>15000</v>
      </c>
      <c r="M26" s="16" t="s">
        <v>13</v>
      </c>
      <c r="N26" s="16" t="s">
        <v>14</v>
      </c>
      <c r="O26" s="17" t="str">
        <f t="shared" si="1"/>
        <v xml:space="preserve"> quinze mille</v>
      </c>
      <c r="P26" s="16">
        <v>15000000</v>
      </c>
      <c r="Q26" s="16" t="s">
        <v>13</v>
      </c>
      <c r="R26" s="16" t="s">
        <v>15</v>
      </c>
      <c r="S26" s="17" t="str">
        <f t="shared" si="2"/>
        <v xml:space="preserve"> quinze millions</v>
      </c>
      <c r="T26" s="17"/>
    </row>
    <row r="27" spans="2:20" x14ac:dyDescent="0.35">
      <c r="B27" s="16">
        <v>2000</v>
      </c>
      <c r="C27" s="16" t="s">
        <v>16</v>
      </c>
      <c r="D27" s="17"/>
      <c r="E27" s="17"/>
      <c r="F27" s="16" t="s">
        <v>14</v>
      </c>
      <c r="G27" s="17" t="str">
        <f>CONCATENATE(C27,F27)</f>
        <v xml:space="preserve"> deux mille</v>
      </c>
      <c r="H27" s="16">
        <v>26</v>
      </c>
      <c r="I27" s="16" t="s">
        <v>10</v>
      </c>
      <c r="J27" s="16" t="s">
        <v>17</v>
      </c>
      <c r="K27" s="17" t="str">
        <f t="shared" si="3"/>
        <v xml:space="preserve"> vingt six </v>
      </c>
      <c r="L27" s="16">
        <v>16000</v>
      </c>
      <c r="M27" s="16" t="s">
        <v>19</v>
      </c>
      <c r="N27" s="16" t="s">
        <v>14</v>
      </c>
      <c r="O27" s="17" t="str">
        <f t="shared" si="1"/>
        <v xml:space="preserve"> seize mille</v>
      </c>
      <c r="P27" s="16">
        <v>16000000</v>
      </c>
      <c r="Q27" s="16" t="s">
        <v>19</v>
      </c>
      <c r="R27" s="16" t="s">
        <v>15</v>
      </c>
      <c r="S27" s="17" t="str">
        <f t="shared" si="2"/>
        <v xml:space="preserve"> seize millions</v>
      </c>
      <c r="T27" s="17"/>
    </row>
    <row r="28" spans="2:20" x14ac:dyDescent="0.35">
      <c r="B28" s="16">
        <v>3000</v>
      </c>
      <c r="C28" s="16" t="s">
        <v>20</v>
      </c>
      <c r="D28" s="17"/>
      <c r="E28" s="17"/>
      <c r="F28" s="16" t="s">
        <v>14</v>
      </c>
      <c r="G28" s="17" t="str">
        <f>CONCATENATE(C28,F28)</f>
        <v xml:space="preserve"> trois mille</v>
      </c>
      <c r="H28" s="16">
        <v>27</v>
      </c>
      <c r="I28" s="16" t="s">
        <v>10</v>
      </c>
      <c r="J28" s="16" t="s">
        <v>21</v>
      </c>
      <c r="K28" s="17" t="str">
        <f t="shared" si="3"/>
        <v xml:space="preserve"> vingt sept</v>
      </c>
      <c r="L28" s="16">
        <v>17000</v>
      </c>
      <c r="M28" s="16" t="s">
        <v>23</v>
      </c>
      <c r="N28" s="16" t="s">
        <v>14</v>
      </c>
      <c r="O28" s="17" t="str">
        <f t="shared" si="1"/>
        <v xml:space="preserve"> dix sept mille</v>
      </c>
      <c r="P28" s="16">
        <v>17000000</v>
      </c>
      <c r="Q28" s="16" t="s">
        <v>23</v>
      </c>
      <c r="R28" s="16" t="s">
        <v>15</v>
      </c>
      <c r="S28" s="17" t="str">
        <f t="shared" si="2"/>
        <v xml:space="preserve"> dix sept millions</v>
      </c>
      <c r="T28" s="17"/>
    </row>
    <row r="29" spans="2:20" x14ac:dyDescent="0.35">
      <c r="B29" s="16">
        <v>4000</v>
      </c>
      <c r="C29" s="16" t="s">
        <v>24</v>
      </c>
      <c r="D29" s="17"/>
      <c r="E29" s="17"/>
      <c r="F29" s="16" t="s">
        <v>14</v>
      </c>
      <c r="G29" s="17" t="str">
        <f t="shared" ref="G29:G92" si="4">CONCATENATE(C29,F29)</f>
        <v xml:space="preserve"> quatre mille</v>
      </c>
      <c r="H29" s="16">
        <v>28</v>
      </c>
      <c r="I29" s="16" t="s">
        <v>10</v>
      </c>
      <c r="J29" s="16" t="s">
        <v>25</v>
      </c>
      <c r="K29" s="17" t="str">
        <f t="shared" si="3"/>
        <v xml:space="preserve"> vingt huit</v>
      </c>
      <c r="L29" s="16">
        <v>18000</v>
      </c>
      <c r="M29" s="16" t="s">
        <v>27</v>
      </c>
      <c r="N29" s="16" t="s">
        <v>14</v>
      </c>
      <c r="O29" s="17" t="str">
        <f t="shared" si="1"/>
        <v xml:space="preserve"> dix huit mille</v>
      </c>
      <c r="P29" s="16">
        <v>18000000</v>
      </c>
      <c r="Q29" s="16" t="s">
        <v>27</v>
      </c>
      <c r="R29" s="16" t="s">
        <v>15</v>
      </c>
      <c r="S29" s="17" t="str">
        <f t="shared" si="2"/>
        <v xml:space="preserve"> dix huit millions</v>
      </c>
      <c r="T29" s="17"/>
    </row>
    <row r="30" spans="2:20" x14ac:dyDescent="0.35">
      <c r="B30" s="16">
        <v>5000</v>
      </c>
      <c r="C30" s="16" t="s">
        <v>11</v>
      </c>
      <c r="D30" s="17"/>
      <c r="E30" s="17"/>
      <c r="F30" s="16" t="s">
        <v>14</v>
      </c>
      <c r="G30" s="17" t="str">
        <f t="shared" si="4"/>
        <v xml:space="preserve"> cinq mille</v>
      </c>
      <c r="H30" s="16">
        <v>29</v>
      </c>
      <c r="I30" s="16" t="s">
        <v>10</v>
      </c>
      <c r="J30" s="16" t="s">
        <v>28</v>
      </c>
      <c r="K30" s="17" t="str">
        <f t="shared" si="3"/>
        <v xml:space="preserve"> vingt neuf</v>
      </c>
      <c r="L30" s="16">
        <v>19000</v>
      </c>
      <c r="M30" s="16" t="s">
        <v>30</v>
      </c>
      <c r="N30" s="16" t="s">
        <v>14</v>
      </c>
      <c r="O30" s="17" t="str">
        <f t="shared" si="1"/>
        <v xml:space="preserve"> dix neuf mille</v>
      </c>
      <c r="P30" s="16">
        <v>19000000</v>
      </c>
      <c r="Q30" s="16" t="s">
        <v>30</v>
      </c>
      <c r="R30" s="16" t="s">
        <v>15</v>
      </c>
      <c r="S30" s="17" t="str">
        <f t="shared" si="2"/>
        <v xml:space="preserve"> dix neuf millions</v>
      </c>
      <c r="T30" s="17"/>
    </row>
    <row r="31" spans="2:20" x14ac:dyDescent="0.35">
      <c r="B31" s="16">
        <v>6000</v>
      </c>
      <c r="C31" s="16" t="s">
        <v>17</v>
      </c>
      <c r="D31" s="17"/>
      <c r="E31" s="17"/>
      <c r="F31" s="16" t="s">
        <v>14</v>
      </c>
      <c r="G31" s="17" t="str">
        <f t="shared" si="4"/>
        <v xml:space="preserve"> six  mille</v>
      </c>
      <c r="H31" s="16">
        <v>30</v>
      </c>
      <c r="I31" s="16" t="s">
        <v>31</v>
      </c>
      <c r="J31" s="16"/>
      <c r="K31" s="17" t="str">
        <f t="shared" si="3"/>
        <v xml:space="preserve"> trente</v>
      </c>
      <c r="L31" s="16">
        <v>20000</v>
      </c>
      <c r="M31" s="16" t="s">
        <v>10</v>
      </c>
      <c r="N31" s="16" t="s">
        <v>14</v>
      </c>
      <c r="O31" s="17" t="str">
        <f t="shared" si="1"/>
        <v xml:space="preserve"> vingt mille</v>
      </c>
      <c r="P31" s="16">
        <v>20000000</v>
      </c>
      <c r="Q31" s="16" t="s">
        <v>10</v>
      </c>
      <c r="R31" s="16" t="s">
        <v>15</v>
      </c>
      <c r="S31" s="17" t="str">
        <f t="shared" si="2"/>
        <v xml:space="preserve"> vingt millions</v>
      </c>
      <c r="T31" s="17"/>
    </row>
    <row r="32" spans="2:20" x14ac:dyDescent="0.35">
      <c r="B32" s="16">
        <v>7000</v>
      </c>
      <c r="C32" s="16" t="s">
        <v>21</v>
      </c>
      <c r="D32" s="17"/>
      <c r="E32" s="17"/>
      <c r="F32" s="16" t="s">
        <v>14</v>
      </c>
      <c r="G32" s="17" t="str">
        <f t="shared" si="4"/>
        <v xml:space="preserve"> sept mille</v>
      </c>
      <c r="H32" s="16">
        <v>31</v>
      </c>
      <c r="I32" s="16" t="s">
        <v>31</v>
      </c>
      <c r="J32" s="16" t="s">
        <v>32</v>
      </c>
      <c r="K32" s="17" t="str">
        <f t="shared" si="3"/>
        <v xml:space="preserve"> trente et un</v>
      </c>
      <c r="L32" s="16">
        <v>21000</v>
      </c>
      <c r="M32" s="16" t="s">
        <v>34</v>
      </c>
      <c r="N32" s="16" t="s">
        <v>14</v>
      </c>
      <c r="O32" s="17" t="str">
        <f t="shared" si="1"/>
        <v xml:space="preserve"> vingt et un mille</v>
      </c>
      <c r="P32" s="16">
        <v>21000000</v>
      </c>
      <c r="Q32" s="16" t="s">
        <v>34</v>
      </c>
      <c r="R32" s="16" t="s">
        <v>15</v>
      </c>
      <c r="S32" s="17" t="str">
        <f t="shared" si="2"/>
        <v xml:space="preserve"> vingt et un millions</v>
      </c>
      <c r="T32" s="17"/>
    </row>
    <row r="33" spans="2:20" x14ac:dyDescent="0.35">
      <c r="B33" s="16">
        <v>8000</v>
      </c>
      <c r="C33" s="16" t="s">
        <v>25</v>
      </c>
      <c r="D33" s="17"/>
      <c r="E33" s="17"/>
      <c r="F33" s="16" t="s">
        <v>14</v>
      </c>
      <c r="G33" s="17" t="str">
        <f t="shared" si="4"/>
        <v xml:space="preserve"> huit mille</v>
      </c>
      <c r="H33" s="16">
        <v>32</v>
      </c>
      <c r="I33" s="16" t="s">
        <v>31</v>
      </c>
      <c r="J33" s="16" t="s">
        <v>16</v>
      </c>
      <c r="K33" s="17" t="str">
        <f t="shared" si="3"/>
        <v xml:space="preserve"> trente deux</v>
      </c>
      <c r="L33" s="16">
        <v>22000</v>
      </c>
      <c r="M33" s="16" t="s">
        <v>36</v>
      </c>
      <c r="N33" s="16" t="s">
        <v>14</v>
      </c>
      <c r="O33" s="17" t="str">
        <f t="shared" si="1"/>
        <v xml:space="preserve"> vingt deux mille</v>
      </c>
      <c r="P33" s="16">
        <v>22000000</v>
      </c>
      <c r="Q33" s="16" t="s">
        <v>36</v>
      </c>
      <c r="R33" s="16" t="s">
        <v>15</v>
      </c>
      <c r="S33" s="17" t="str">
        <f t="shared" si="2"/>
        <v xml:space="preserve"> vingt deux millions</v>
      </c>
      <c r="T33" s="17"/>
    </row>
    <row r="34" spans="2:20" x14ac:dyDescent="0.35">
      <c r="B34" s="16">
        <v>9000</v>
      </c>
      <c r="C34" s="16" t="s">
        <v>28</v>
      </c>
      <c r="D34" s="17"/>
      <c r="E34" s="17"/>
      <c r="F34" s="16" t="s">
        <v>14</v>
      </c>
      <c r="G34" s="17" t="str">
        <f t="shared" si="4"/>
        <v xml:space="preserve"> neuf mille</v>
      </c>
      <c r="H34" s="16">
        <v>33</v>
      </c>
      <c r="I34" s="16" t="s">
        <v>31</v>
      </c>
      <c r="J34" s="16" t="s">
        <v>20</v>
      </c>
      <c r="K34" s="17" t="str">
        <f t="shared" si="3"/>
        <v xml:space="preserve"> trente trois</v>
      </c>
      <c r="L34" s="16">
        <v>23000</v>
      </c>
      <c r="M34" s="16" t="s">
        <v>38</v>
      </c>
      <c r="N34" s="16" t="s">
        <v>14</v>
      </c>
      <c r="O34" s="17" t="str">
        <f t="shared" si="1"/>
        <v xml:space="preserve"> vingt trois mille</v>
      </c>
      <c r="P34" s="16">
        <v>23000000</v>
      </c>
      <c r="Q34" s="16" t="s">
        <v>38</v>
      </c>
      <c r="R34" s="16" t="s">
        <v>15</v>
      </c>
      <c r="S34" s="17" t="str">
        <f t="shared" si="2"/>
        <v xml:space="preserve"> vingt trois millions</v>
      </c>
      <c r="T34" s="17"/>
    </row>
    <row r="35" spans="2:20" x14ac:dyDescent="0.35">
      <c r="B35" s="16">
        <v>10000</v>
      </c>
      <c r="C35" s="16" t="s">
        <v>39</v>
      </c>
      <c r="D35" s="17"/>
      <c r="E35" s="17"/>
      <c r="F35" s="16" t="s">
        <v>14</v>
      </c>
      <c r="G35" s="17" t="str">
        <f t="shared" si="4"/>
        <v xml:space="preserve"> dix mille</v>
      </c>
      <c r="H35" s="16">
        <v>34</v>
      </c>
      <c r="I35" s="16" t="s">
        <v>31</v>
      </c>
      <c r="J35" s="16" t="s">
        <v>24</v>
      </c>
      <c r="K35" s="17" t="str">
        <f t="shared" si="3"/>
        <v xml:space="preserve"> trente quatre</v>
      </c>
      <c r="L35" s="16">
        <v>24000</v>
      </c>
      <c r="M35" s="16" t="s">
        <v>41</v>
      </c>
      <c r="N35" s="16" t="s">
        <v>14</v>
      </c>
      <c r="O35" s="17" t="str">
        <f t="shared" si="1"/>
        <v xml:space="preserve"> vingt quatre mille</v>
      </c>
      <c r="P35" s="16">
        <v>24000000</v>
      </c>
      <c r="Q35" s="16" t="s">
        <v>41</v>
      </c>
      <c r="R35" s="16" t="s">
        <v>15</v>
      </c>
      <c r="S35" s="17" t="str">
        <f t="shared" si="2"/>
        <v xml:space="preserve"> vingt quatre millions</v>
      </c>
      <c r="T35" s="17"/>
    </row>
    <row r="36" spans="2:20" x14ac:dyDescent="0.35">
      <c r="B36" s="16">
        <v>11000</v>
      </c>
      <c r="C36" s="16" t="s">
        <v>42</v>
      </c>
      <c r="D36" s="17"/>
      <c r="E36" s="17"/>
      <c r="F36" s="16" t="s">
        <v>14</v>
      </c>
      <c r="G36" s="17" t="str">
        <f t="shared" si="4"/>
        <v xml:space="preserve"> onze mille</v>
      </c>
      <c r="H36" s="16">
        <v>35</v>
      </c>
      <c r="I36" s="16" t="s">
        <v>31</v>
      </c>
      <c r="J36" s="16" t="s">
        <v>11</v>
      </c>
      <c r="K36" s="17" t="str">
        <f t="shared" si="3"/>
        <v xml:space="preserve"> trente cinq</v>
      </c>
      <c r="L36" s="16">
        <v>25000</v>
      </c>
      <c r="M36" s="16" t="s">
        <v>12</v>
      </c>
      <c r="N36" s="16" t="s">
        <v>14</v>
      </c>
      <c r="O36" s="17" t="str">
        <f t="shared" si="1"/>
        <v xml:space="preserve"> vingt cinq mille</v>
      </c>
      <c r="P36" s="16">
        <v>25000000</v>
      </c>
      <c r="Q36" s="16" t="s">
        <v>12</v>
      </c>
      <c r="R36" s="16" t="s">
        <v>15</v>
      </c>
      <c r="S36" s="17" t="str">
        <f t="shared" si="2"/>
        <v xml:space="preserve"> vingt cinq millions</v>
      </c>
      <c r="T36" s="17"/>
    </row>
    <row r="37" spans="2:20" x14ac:dyDescent="0.35">
      <c r="B37" s="16">
        <v>12000</v>
      </c>
      <c r="C37" s="16" t="s">
        <v>44</v>
      </c>
      <c r="D37" s="17"/>
      <c r="E37" s="17"/>
      <c r="F37" s="16" t="s">
        <v>14</v>
      </c>
      <c r="G37" s="17" t="str">
        <f t="shared" si="4"/>
        <v xml:space="preserve"> douze mille</v>
      </c>
      <c r="H37" s="16">
        <v>36</v>
      </c>
      <c r="I37" s="16" t="s">
        <v>31</v>
      </c>
      <c r="J37" s="16" t="s">
        <v>17</v>
      </c>
      <c r="K37" s="17" t="str">
        <f t="shared" si="3"/>
        <v xml:space="preserve"> trente six </v>
      </c>
      <c r="L37" s="16">
        <v>26000</v>
      </c>
      <c r="M37" s="16" t="s">
        <v>18</v>
      </c>
      <c r="N37" s="16" t="s">
        <v>14</v>
      </c>
      <c r="O37" s="17" t="str">
        <f t="shared" si="1"/>
        <v xml:space="preserve"> vingt six  mille</v>
      </c>
      <c r="P37" s="16">
        <v>26000000</v>
      </c>
      <c r="Q37" s="16" t="s">
        <v>18</v>
      </c>
      <c r="R37" s="16" t="s">
        <v>15</v>
      </c>
      <c r="S37" s="17" t="str">
        <f t="shared" si="2"/>
        <v xml:space="preserve"> vingt six  millions</v>
      </c>
      <c r="T37" s="17"/>
    </row>
    <row r="38" spans="2:20" x14ac:dyDescent="0.35">
      <c r="B38" s="16">
        <v>13000</v>
      </c>
      <c r="C38" s="16" t="s">
        <v>46</v>
      </c>
      <c r="D38" s="17"/>
      <c r="E38" s="17"/>
      <c r="F38" s="16" t="s">
        <v>14</v>
      </c>
      <c r="G38" s="17" t="str">
        <f t="shared" si="4"/>
        <v xml:space="preserve"> treize mille</v>
      </c>
      <c r="H38" s="16">
        <v>37</v>
      </c>
      <c r="I38" s="16" t="s">
        <v>31</v>
      </c>
      <c r="J38" s="16" t="s">
        <v>21</v>
      </c>
      <c r="K38" s="17" t="str">
        <f t="shared" si="3"/>
        <v xml:space="preserve"> trente sept</v>
      </c>
      <c r="L38" s="16">
        <v>27000</v>
      </c>
      <c r="M38" s="16" t="s">
        <v>22</v>
      </c>
      <c r="N38" s="16" t="s">
        <v>14</v>
      </c>
      <c r="O38" s="17" t="str">
        <f t="shared" si="1"/>
        <v xml:space="preserve"> vingt sept mille</v>
      </c>
      <c r="P38" s="16">
        <v>27000000</v>
      </c>
      <c r="Q38" s="16" t="s">
        <v>22</v>
      </c>
      <c r="R38" s="16" t="s">
        <v>15</v>
      </c>
      <c r="S38" s="17" t="str">
        <f t="shared" si="2"/>
        <v xml:space="preserve"> vingt sept millions</v>
      </c>
      <c r="T38" s="17"/>
    </row>
    <row r="39" spans="2:20" x14ac:dyDescent="0.35">
      <c r="B39" s="16">
        <v>14000</v>
      </c>
      <c r="C39" s="16" t="s">
        <v>48</v>
      </c>
      <c r="D39" s="17"/>
      <c r="E39" s="17"/>
      <c r="F39" s="16" t="s">
        <v>14</v>
      </c>
      <c r="G39" s="17" t="str">
        <f t="shared" si="4"/>
        <v xml:space="preserve"> quatorze mille</v>
      </c>
      <c r="H39" s="16">
        <v>38</v>
      </c>
      <c r="I39" s="16" t="s">
        <v>31</v>
      </c>
      <c r="J39" s="16" t="s">
        <v>25</v>
      </c>
      <c r="K39" s="17" t="str">
        <f t="shared" si="3"/>
        <v xml:space="preserve"> trente huit</v>
      </c>
      <c r="L39" s="16">
        <v>28000</v>
      </c>
      <c r="M39" s="16" t="s">
        <v>26</v>
      </c>
      <c r="N39" s="16" t="s">
        <v>14</v>
      </c>
      <c r="O39" s="17" t="str">
        <f t="shared" si="1"/>
        <v xml:space="preserve"> vingt huit mille</v>
      </c>
      <c r="P39" s="16">
        <v>28000000</v>
      </c>
      <c r="Q39" s="16" t="s">
        <v>26</v>
      </c>
      <c r="R39" s="16" t="s">
        <v>15</v>
      </c>
      <c r="S39" s="17" t="str">
        <f t="shared" si="2"/>
        <v xml:space="preserve"> vingt huit millions</v>
      </c>
      <c r="T39" s="17"/>
    </row>
    <row r="40" spans="2:20" x14ac:dyDescent="0.35">
      <c r="B40" s="16">
        <v>15000</v>
      </c>
      <c r="C40" s="16" t="s">
        <v>13</v>
      </c>
      <c r="D40" s="17"/>
      <c r="E40" s="17"/>
      <c r="F40" s="16" t="s">
        <v>14</v>
      </c>
      <c r="G40" s="17" t="str">
        <f t="shared" si="4"/>
        <v xml:space="preserve"> quinze mille</v>
      </c>
      <c r="H40" s="16">
        <v>39</v>
      </c>
      <c r="I40" s="16" t="s">
        <v>31</v>
      </c>
      <c r="J40" s="16" t="s">
        <v>28</v>
      </c>
      <c r="K40" s="17" t="str">
        <f t="shared" si="3"/>
        <v xml:space="preserve"> trente neuf</v>
      </c>
      <c r="L40" s="16">
        <v>29000</v>
      </c>
      <c r="M40" s="16" t="s">
        <v>29</v>
      </c>
      <c r="N40" s="16" t="s">
        <v>14</v>
      </c>
      <c r="O40" s="17" t="str">
        <f t="shared" si="1"/>
        <v xml:space="preserve"> vingt neuf mille</v>
      </c>
      <c r="P40" s="16">
        <v>29000000</v>
      </c>
      <c r="Q40" s="16" t="s">
        <v>29</v>
      </c>
      <c r="R40" s="16" t="s">
        <v>15</v>
      </c>
      <c r="S40" s="17" t="str">
        <f t="shared" si="2"/>
        <v xml:space="preserve"> vingt neuf millions</v>
      </c>
      <c r="T40" s="17"/>
    </row>
    <row r="41" spans="2:20" x14ac:dyDescent="0.35">
      <c r="B41" s="16">
        <v>16000</v>
      </c>
      <c r="C41" s="16" t="s">
        <v>19</v>
      </c>
      <c r="D41" s="17"/>
      <c r="E41" s="17"/>
      <c r="F41" s="16" t="s">
        <v>14</v>
      </c>
      <c r="G41" s="17" t="str">
        <f t="shared" si="4"/>
        <v xml:space="preserve"> seize mille</v>
      </c>
      <c r="H41" s="16">
        <v>40</v>
      </c>
      <c r="I41" s="16" t="s">
        <v>51</v>
      </c>
      <c r="J41" s="16"/>
      <c r="K41" s="17" t="str">
        <f t="shared" si="3"/>
        <v xml:space="preserve"> quarante</v>
      </c>
      <c r="L41" s="16">
        <v>30000</v>
      </c>
      <c r="M41" s="16" t="s">
        <v>31</v>
      </c>
      <c r="N41" s="16" t="s">
        <v>14</v>
      </c>
      <c r="O41" s="17" t="str">
        <f t="shared" si="1"/>
        <v xml:space="preserve"> trente mille</v>
      </c>
      <c r="P41" s="16">
        <v>30000000</v>
      </c>
      <c r="Q41" s="16" t="s">
        <v>31</v>
      </c>
      <c r="R41" s="16" t="s">
        <v>15</v>
      </c>
      <c r="S41" s="17" t="str">
        <f t="shared" si="2"/>
        <v xml:space="preserve"> trente millions</v>
      </c>
      <c r="T41" s="17"/>
    </row>
    <row r="42" spans="2:20" x14ac:dyDescent="0.35">
      <c r="B42" s="16">
        <v>17000</v>
      </c>
      <c r="C42" s="16" t="s">
        <v>23</v>
      </c>
      <c r="D42" s="17"/>
      <c r="E42" s="17"/>
      <c r="F42" s="16" t="s">
        <v>14</v>
      </c>
      <c r="G42" s="17" t="str">
        <f t="shared" si="4"/>
        <v xml:space="preserve"> dix sept mille</v>
      </c>
      <c r="H42" s="16">
        <v>41</v>
      </c>
      <c r="I42" s="16" t="s">
        <v>51</v>
      </c>
      <c r="J42" s="16" t="s">
        <v>32</v>
      </c>
      <c r="K42" s="17" t="str">
        <f t="shared" si="3"/>
        <v xml:space="preserve"> quarante et un</v>
      </c>
      <c r="L42" s="16">
        <v>31000</v>
      </c>
      <c r="M42" s="16" t="s">
        <v>33</v>
      </c>
      <c r="N42" s="16" t="s">
        <v>14</v>
      </c>
      <c r="O42" s="17" t="str">
        <f t="shared" si="1"/>
        <v xml:space="preserve"> trente et un mille</v>
      </c>
      <c r="P42" s="16">
        <v>31000000</v>
      </c>
      <c r="Q42" s="16" t="s">
        <v>33</v>
      </c>
      <c r="R42" s="16" t="s">
        <v>15</v>
      </c>
      <c r="S42" s="17" t="str">
        <f t="shared" si="2"/>
        <v xml:space="preserve"> trente et un millions</v>
      </c>
      <c r="T42" s="17"/>
    </row>
    <row r="43" spans="2:20" x14ac:dyDescent="0.35">
      <c r="B43" s="16">
        <v>18000</v>
      </c>
      <c r="C43" s="16" t="s">
        <v>27</v>
      </c>
      <c r="D43" s="17"/>
      <c r="E43" s="17"/>
      <c r="F43" s="16" t="s">
        <v>14</v>
      </c>
      <c r="G43" s="17" t="str">
        <f t="shared" si="4"/>
        <v xml:space="preserve"> dix huit mille</v>
      </c>
      <c r="H43" s="16">
        <v>42</v>
      </c>
      <c r="I43" s="16" t="s">
        <v>51</v>
      </c>
      <c r="J43" s="16" t="s">
        <v>16</v>
      </c>
      <c r="K43" s="17" t="str">
        <f t="shared" si="3"/>
        <v xml:space="preserve"> quarante deux</v>
      </c>
      <c r="L43" s="16">
        <v>32000</v>
      </c>
      <c r="M43" s="16" t="s">
        <v>35</v>
      </c>
      <c r="N43" s="16" t="s">
        <v>14</v>
      </c>
      <c r="O43" s="17" t="str">
        <f t="shared" si="1"/>
        <v xml:space="preserve"> trente deux mille</v>
      </c>
      <c r="P43" s="16">
        <v>32000000</v>
      </c>
      <c r="Q43" s="16" t="s">
        <v>35</v>
      </c>
      <c r="R43" s="16" t="s">
        <v>15</v>
      </c>
      <c r="S43" s="17" t="str">
        <f t="shared" si="2"/>
        <v xml:space="preserve"> trente deux millions</v>
      </c>
      <c r="T43" s="17"/>
    </row>
    <row r="44" spans="2:20" x14ac:dyDescent="0.35">
      <c r="B44" s="16">
        <v>19000</v>
      </c>
      <c r="C44" s="16" t="s">
        <v>30</v>
      </c>
      <c r="D44" s="17"/>
      <c r="E44" s="17"/>
      <c r="F44" s="16" t="s">
        <v>14</v>
      </c>
      <c r="G44" s="17" t="str">
        <f t="shared" si="4"/>
        <v xml:space="preserve"> dix neuf mille</v>
      </c>
      <c r="H44" s="16">
        <v>43</v>
      </c>
      <c r="I44" s="16" t="s">
        <v>51</v>
      </c>
      <c r="J44" s="16" t="s">
        <v>20</v>
      </c>
      <c r="K44" s="17" t="str">
        <f t="shared" si="3"/>
        <v xml:space="preserve"> quarante trois</v>
      </c>
      <c r="L44" s="16">
        <v>33000</v>
      </c>
      <c r="M44" s="16" t="s">
        <v>37</v>
      </c>
      <c r="N44" s="16" t="s">
        <v>14</v>
      </c>
      <c r="O44" s="17" t="str">
        <f t="shared" si="1"/>
        <v xml:space="preserve"> trente trois mille</v>
      </c>
      <c r="P44" s="16">
        <v>33000000</v>
      </c>
      <c r="Q44" s="16" t="s">
        <v>37</v>
      </c>
      <c r="R44" s="16" t="s">
        <v>15</v>
      </c>
      <c r="S44" s="17" t="str">
        <f t="shared" si="2"/>
        <v xml:space="preserve"> trente trois millions</v>
      </c>
      <c r="T44" s="17"/>
    </row>
    <row r="45" spans="2:20" x14ac:dyDescent="0.35">
      <c r="B45" s="16">
        <v>20000</v>
      </c>
      <c r="C45" s="16" t="s">
        <v>10</v>
      </c>
      <c r="D45" s="17"/>
      <c r="E45" s="17"/>
      <c r="F45" s="16" t="s">
        <v>14</v>
      </c>
      <c r="G45" s="17" t="str">
        <f t="shared" si="4"/>
        <v xml:space="preserve"> vingt mille</v>
      </c>
      <c r="H45" s="16">
        <v>44</v>
      </c>
      <c r="I45" s="16" t="s">
        <v>51</v>
      </c>
      <c r="J45" s="16" t="s">
        <v>24</v>
      </c>
      <c r="K45" s="17" t="str">
        <f t="shared" si="3"/>
        <v xml:space="preserve"> quarante quatre</v>
      </c>
      <c r="L45" s="16">
        <v>34000</v>
      </c>
      <c r="M45" s="16" t="s">
        <v>40</v>
      </c>
      <c r="N45" s="16" t="s">
        <v>14</v>
      </c>
      <c r="O45" s="17" t="str">
        <f t="shared" si="1"/>
        <v xml:space="preserve"> trente quatre mille</v>
      </c>
      <c r="P45" s="16">
        <v>34000000</v>
      </c>
      <c r="Q45" s="16" t="s">
        <v>40</v>
      </c>
      <c r="R45" s="16" t="s">
        <v>15</v>
      </c>
      <c r="S45" s="17" t="str">
        <f t="shared" si="2"/>
        <v xml:space="preserve"> trente quatre millions</v>
      </c>
      <c r="T45" s="17"/>
    </row>
    <row r="46" spans="2:20" x14ac:dyDescent="0.35">
      <c r="B46" s="16">
        <v>21000</v>
      </c>
      <c r="C46" s="16" t="s">
        <v>34</v>
      </c>
      <c r="D46" s="17"/>
      <c r="E46" s="17"/>
      <c r="F46" s="16" t="s">
        <v>14</v>
      </c>
      <c r="G46" s="17" t="str">
        <f t="shared" si="4"/>
        <v xml:space="preserve"> vingt et un mille</v>
      </c>
      <c r="H46" s="16">
        <v>45</v>
      </c>
      <c r="I46" s="16" t="s">
        <v>51</v>
      </c>
      <c r="J46" s="16" t="s">
        <v>11</v>
      </c>
      <c r="K46" s="17" t="str">
        <f t="shared" si="3"/>
        <v xml:space="preserve"> quarante cinq</v>
      </c>
      <c r="L46" s="16">
        <v>35000</v>
      </c>
      <c r="M46" s="16" t="s">
        <v>43</v>
      </c>
      <c r="N46" s="16" t="s">
        <v>14</v>
      </c>
      <c r="O46" s="17" t="str">
        <f t="shared" si="1"/>
        <v xml:space="preserve"> trente cinq mille</v>
      </c>
      <c r="P46" s="16">
        <v>35000000</v>
      </c>
      <c r="Q46" s="16" t="s">
        <v>43</v>
      </c>
      <c r="R46" s="16" t="s">
        <v>15</v>
      </c>
      <c r="S46" s="17" t="str">
        <f t="shared" si="2"/>
        <v xml:space="preserve"> trente cinq millions</v>
      </c>
      <c r="T46" s="17"/>
    </row>
    <row r="47" spans="2:20" x14ac:dyDescent="0.35">
      <c r="B47" s="16">
        <v>22000</v>
      </c>
      <c r="C47" s="16" t="s">
        <v>36</v>
      </c>
      <c r="D47" s="17"/>
      <c r="E47" s="17"/>
      <c r="F47" s="16" t="s">
        <v>14</v>
      </c>
      <c r="G47" s="17" t="str">
        <f t="shared" si="4"/>
        <v xml:space="preserve"> vingt deux mille</v>
      </c>
      <c r="H47" s="16">
        <v>46</v>
      </c>
      <c r="I47" s="16" t="s">
        <v>51</v>
      </c>
      <c r="J47" s="16" t="s">
        <v>17</v>
      </c>
      <c r="K47" s="17" t="str">
        <f t="shared" si="3"/>
        <v xml:space="preserve"> quarante six </v>
      </c>
      <c r="L47" s="16">
        <v>36000</v>
      </c>
      <c r="M47" s="16" t="s">
        <v>45</v>
      </c>
      <c r="N47" s="16" t="s">
        <v>14</v>
      </c>
      <c r="O47" s="17" t="str">
        <f t="shared" si="1"/>
        <v xml:space="preserve"> trente six  mille</v>
      </c>
      <c r="P47" s="16">
        <v>36000000</v>
      </c>
      <c r="Q47" s="16" t="s">
        <v>45</v>
      </c>
      <c r="R47" s="16" t="s">
        <v>15</v>
      </c>
      <c r="S47" s="17" t="str">
        <f t="shared" si="2"/>
        <v xml:space="preserve"> trente six  millions</v>
      </c>
      <c r="T47" s="17"/>
    </row>
    <row r="48" spans="2:20" x14ac:dyDescent="0.35">
      <c r="B48" s="16">
        <v>23000</v>
      </c>
      <c r="C48" s="16" t="s">
        <v>38</v>
      </c>
      <c r="D48" s="17"/>
      <c r="E48" s="17"/>
      <c r="F48" s="16" t="s">
        <v>14</v>
      </c>
      <c r="G48" s="17" t="str">
        <f t="shared" si="4"/>
        <v xml:space="preserve"> vingt trois mille</v>
      </c>
      <c r="H48" s="16">
        <v>47</v>
      </c>
      <c r="I48" s="16" t="s">
        <v>51</v>
      </c>
      <c r="J48" s="16" t="s">
        <v>21</v>
      </c>
      <c r="K48" s="17" t="str">
        <f t="shared" si="3"/>
        <v xml:space="preserve"> quarante sept</v>
      </c>
      <c r="L48" s="16">
        <v>37000</v>
      </c>
      <c r="M48" s="16" t="s">
        <v>47</v>
      </c>
      <c r="N48" s="16" t="s">
        <v>14</v>
      </c>
      <c r="O48" s="17" t="str">
        <f t="shared" si="1"/>
        <v xml:space="preserve"> trente sept mille</v>
      </c>
      <c r="P48" s="16">
        <v>37000000</v>
      </c>
      <c r="Q48" s="16" t="s">
        <v>47</v>
      </c>
      <c r="R48" s="16" t="s">
        <v>15</v>
      </c>
      <c r="S48" s="17" t="str">
        <f t="shared" si="2"/>
        <v xml:space="preserve"> trente sept millions</v>
      </c>
      <c r="T48" s="17"/>
    </row>
    <row r="49" spans="2:20" x14ac:dyDescent="0.35">
      <c r="B49" s="16">
        <v>24000</v>
      </c>
      <c r="C49" s="16" t="s">
        <v>41</v>
      </c>
      <c r="D49" s="17"/>
      <c r="E49" s="17"/>
      <c r="F49" s="16" t="s">
        <v>14</v>
      </c>
      <c r="G49" s="17" t="str">
        <f t="shared" si="4"/>
        <v xml:space="preserve"> vingt quatre mille</v>
      </c>
      <c r="H49" s="16">
        <v>48</v>
      </c>
      <c r="I49" s="16" t="s">
        <v>51</v>
      </c>
      <c r="J49" s="16" t="s">
        <v>25</v>
      </c>
      <c r="K49" s="17" t="str">
        <f t="shared" si="3"/>
        <v xml:space="preserve"> quarante huit</v>
      </c>
      <c r="L49" s="16">
        <v>38000</v>
      </c>
      <c r="M49" s="16" t="s">
        <v>49</v>
      </c>
      <c r="N49" s="16" t="s">
        <v>14</v>
      </c>
      <c r="O49" s="17" t="str">
        <f t="shared" si="1"/>
        <v xml:space="preserve"> trente huit mille</v>
      </c>
      <c r="P49" s="16">
        <v>38000000</v>
      </c>
      <c r="Q49" s="16" t="s">
        <v>49</v>
      </c>
      <c r="R49" s="16" t="s">
        <v>15</v>
      </c>
      <c r="S49" s="17" t="str">
        <f t="shared" si="2"/>
        <v xml:space="preserve"> trente huit millions</v>
      </c>
      <c r="T49" s="17"/>
    </row>
    <row r="50" spans="2:20" x14ac:dyDescent="0.35">
      <c r="B50" s="16">
        <v>25000</v>
      </c>
      <c r="C50" s="16" t="s">
        <v>12</v>
      </c>
      <c r="D50" s="17"/>
      <c r="E50" s="17"/>
      <c r="F50" s="16" t="s">
        <v>14</v>
      </c>
      <c r="G50" s="17" t="str">
        <f t="shared" si="4"/>
        <v xml:space="preserve"> vingt cinq mille</v>
      </c>
      <c r="H50" s="16">
        <v>49</v>
      </c>
      <c r="I50" s="16" t="s">
        <v>51</v>
      </c>
      <c r="J50" s="16" t="s">
        <v>28</v>
      </c>
      <c r="K50" s="17" t="str">
        <f t="shared" si="3"/>
        <v xml:space="preserve"> quarante neuf</v>
      </c>
      <c r="L50" s="16">
        <v>39000</v>
      </c>
      <c r="M50" s="16" t="s">
        <v>50</v>
      </c>
      <c r="N50" s="16" t="s">
        <v>14</v>
      </c>
      <c r="O50" s="17" t="str">
        <f t="shared" si="1"/>
        <v xml:space="preserve"> trente neuf mille</v>
      </c>
      <c r="P50" s="16">
        <v>39000000</v>
      </c>
      <c r="Q50" s="16" t="s">
        <v>50</v>
      </c>
      <c r="R50" s="16" t="s">
        <v>15</v>
      </c>
      <c r="S50" s="17" t="str">
        <f t="shared" si="2"/>
        <v xml:space="preserve"> trente neuf millions</v>
      </c>
      <c r="T50" s="17"/>
    </row>
    <row r="51" spans="2:20" x14ac:dyDescent="0.35">
      <c r="B51" s="16">
        <v>26000</v>
      </c>
      <c r="C51" s="16" t="s">
        <v>18</v>
      </c>
      <c r="D51" s="17"/>
      <c r="E51" s="17"/>
      <c r="F51" s="16" t="s">
        <v>14</v>
      </c>
      <c r="G51" s="17" t="str">
        <f t="shared" si="4"/>
        <v xml:space="preserve"> vingt six  mille</v>
      </c>
      <c r="H51" s="16">
        <v>50</v>
      </c>
      <c r="I51" s="16" t="s">
        <v>61</v>
      </c>
      <c r="J51" s="16"/>
      <c r="K51" s="17" t="str">
        <f t="shared" si="3"/>
        <v xml:space="preserve"> cinquante</v>
      </c>
      <c r="L51" s="16">
        <v>40000</v>
      </c>
      <c r="M51" s="16" t="s">
        <v>51</v>
      </c>
      <c r="N51" s="16" t="s">
        <v>14</v>
      </c>
      <c r="O51" s="17" t="str">
        <f t="shared" si="1"/>
        <v xml:space="preserve"> quarante mille</v>
      </c>
      <c r="P51" s="16">
        <v>40000000</v>
      </c>
      <c r="Q51" s="16" t="s">
        <v>51</v>
      </c>
      <c r="R51" s="16" t="s">
        <v>15</v>
      </c>
      <c r="S51" s="17" t="str">
        <f t="shared" si="2"/>
        <v xml:space="preserve"> quarante millions</v>
      </c>
      <c r="T51" s="17"/>
    </row>
    <row r="52" spans="2:20" x14ac:dyDescent="0.35">
      <c r="B52" s="16">
        <v>27000</v>
      </c>
      <c r="C52" s="16" t="s">
        <v>22</v>
      </c>
      <c r="D52" s="17"/>
      <c r="E52" s="17"/>
      <c r="F52" s="16" t="s">
        <v>14</v>
      </c>
      <c r="G52" s="17" t="str">
        <f t="shared" si="4"/>
        <v xml:space="preserve"> vingt sept mille</v>
      </c>
      <c r="H52" s="16">
        <v>51</v>
      </c>
      <c r="I52" s="16" t="s">
        <v>61</v>
      </c>
      <c r="J52" s="16" t="s">
        <v>32</v>
      </c>
      <c r="K52" s="17" t="str">
        <f t="shared" si="3"/>
        <v xml:space="preserve"> cinquante et un</v>
      </c>
      <c r="L52" s="16">
        <v>41000</v>
      </c>
      <c r="M52" s="16" t="s">
        <v>52</v>
      </c>
      <c r="N52" s="16" t="s">
        <v>14</v>
      </c>
      <c r="O52" s="17" t="str">
        <f t="shared" si="1"/>
        <v xml:space="preserve"> quarante et un mille</v>
      </c>
      <c r="P52" s="16">
        <v>41000000</v>
      </c>
      <c r="Q52" s="16" t="s">
        <v>52</v>
      </c>
      <c r="R52" s="16" t="s">
        <v>15</v>
      </c>
      <c r="S52" s="17" t="str">
        <f t="shared" si="2"/>
        <v xml:space="preserve"> quarante et un millions</v>
      </c>
      <c r="T52" s="17"/>
    </row>
    <row r="53" spans="2:20" x14ac:dyDescent="0.35">
      <c r="B53" s="16">
        <v>28000</v>
      </c>
      <c r="C53" s="16" t="s">
        <v>26</v>
      </c>
      <c r="D53" s="17"/>
      <c r="E53" s="17"/>
      <c r="F53" s="16" t="s">
        <v>14</v>
      </c>
      <c r="G53" s="17" t="str">
        <f t="shared" si="4"/>
        <v xml:space="preserve"> vingt huit mille</v>
      </c>
      <c r="H53" s="16">
        <v>52</v>
      </c>
      <c r="I53" s="16" t="s">
        <v>61</v>
      </c>
      <c r="J53" s="16" t="s">
        <v>16</v>
      </c>
      <c r="K53" s="17" t="str">
        <f t="shared" si="3"/>
        <v xml:space="preserve"> cinquante deux</v>
      </c>
      <c r="L53" s="16">
        <v>42000</v>
      </c>
      <c r="M53" s="16" t="s">
        <v>53</v>
      </c>
      <c r="N53" s="16" t="s">
        <v>14</v>
      </c>
      <c r="O53" s="17" t="str">
        <f t="shared" si="1"/>
        <v xml:space="preserve"> quarante deux mille</v>
      </c>
      <c r="P53" s="16">
        <v>42000000</v>
      </c>
      <c r="Q53" s="16" t="s">
        <v>53</v>
      </c>
      <c r="R53" s="16" t="s">
        <v>15</v>
      </c>
      <c r="S53" s="17" t="str">
        <f t="shared" si="2"/>
        <v xml:space="preserve"> quarante deux millions</v>
      </c>
      <c r="T53" s="17"/>
    </row>
    <row r="54" spans="2:20" x14ac:dyDescent="0.35">
      <c r="B54" s="16">
        <v>29000</v>
      </c>
      <c r="C54" s="16" t="s">
        <v>29</v>
      </c>
      <c r="D54" s="17"/>
      <c r="E54" s="17"/>
      <c r="F54" s="16" t="s">
        <v>14</v>
      </c>
      <c r="G54" s="17" t="str">
        <f t="shared" si="4"/>
        <v xml:space="preserve"> vingt neuf mille</v>
      </c>
      <c r="H54" s="16">
        <v>53</v>
      </c>
      <c r="I54" s="16" t="s">
        <v>61</v>
      </c>
      <c r="J54" s="16" t="s">
        <v>20</v>
      </c>
      <c r="K54" s="17" t="str">
        <f t="shared" si="3"/>
        <v xml:space="preserve"> cinquante trois</v>
      </c>
      <c r="L54" s="16">
        <v>43000</v>
      </c>
      <c r="M54" s="16" t="s">
        <v>54</v>
      </c>
      <c r="N54" s="16" t="s">
        <v>14</v>
      </c>
      <c r="O54" s="17" t="str">
        <f t="shared" si="1"/>
        <v xml:space="preserve"> quarante trois mille</v>
      </c>
      <c r="P54" s="16">
        <v>43000000</v>
      </c>
      <c r="Q54" s="16" t="s">
        <v>54</v>
      </c>
      <c r="R54" s="16" t="s">
        <v>15</v>
      </c>
      <c r="S54" s="17" t="str">
        <f t="shared" si="2"/>
        <v xml:space="preserve"> quarante trois millions</v>
      </c>
      <c r="T54" s="17"/>
    </row>
    <row r="55" spans="2:20" x14ac:dyDescent="0.35">
      <c r="B55" s="16">
        <v>30000</v>
      </c>
      <c r="C55" s="16" t="s">
        <v>31</v>
      </c>
      <c r="D55" s="17"/>
      <c r="E55" s="17"/>
      <c r="F55" s="16" t="s">
        <v>14</v>
      </c>
      <c r="G55" s="17" t="str">
        <f t="shared" si="4"/>
        <v xml:space="preserve"> trente mille</v>
      </c>
      <c r="H55" s="16">
        <v>54</v>
      </c>
      <c r="I55" s="16" t="s">
        <v>61</v>
      </c>
      <c r="J55" s="16" t="s">
        <v>24</v>
      </c>
      <c r="K55" s="17" t="str">
        <f t="shared" si="3"/>
        <v xml:space="preserve"> cinquante quatre</v>
      </c>
      <c r="L55" s="16">
        <v>44000</v>
      </c>
      <c r="M55" s="16" t="s">
        <v>55</v>
      </c>
      <c r="N55" s="16" t="s">
        <v>14</v>
      </c>
      <c r="O55" s="17" t="str">
        <f t="shared" si="1"/>
        <v xml:space="preserve"> quarante quatre mille</v>
      </c>
      <c r="P55" s="16">
        <v>44000000</v>
      </c>
      <c r="Q55" s="16" t="s">
        <v>55</v>
      </c>
      <c r="R55" s="16" t="s">
        <v>15</v>
      </c>
      <c r="S55" s="17" t="str">
        <f t="shared" si="2"/>
        <v xml:space="preserve"> quarante quatre millions</v>
      </c>
      <c r="T55" s="17"/>
    </row>
    <row r="56" spans="2:20" x14ac:dyDescent="0.35">
      <c r="B56" s="16">
        <v>31000</v>
      </c>
      <c r="C56" s="16" t="s">
        <v>33</v>
      </c>
      <c r="D56" s="17"/>
      <c r="E56" s="17"/>
      <c r="F56" s="16" t="s">
        <v>14</v>
      </c>
      <c r="G56" s="17" t="str">
        <f t="shared" si="4"/>
        <v xml:space="preserve"> trente et un mille</v>
      </c>
      <c r="H56" s="16">
        <v>55</v>
      </c>
      <c r="I56" s="16" t="s">
        <v>61</v>
      </c>
      <c r="J56" s="16" t="s">
        <v>11</v>
      </c>
      <c r="K56" s="17" t="str">
        <f t="shared" si="3"/>
        <v xml:space="preserve"> cinquante cinq</v>
      </c>
      <c r="L56" s="16">
        <v>45000</v>
      </c>
      <c r="M56" s="16" t="s">
        <v>56</v>
      </c>
      <c r="N56" s="16" t="s">
        <v>14</v>
      </c>
      <c r="O56" s="17" t="str">
        <f t="shared" si="1"/>
        <v xml:space="preserve"> quarante cinq mille</v>
      </c>
      <c r="P56" s="16">
        <v>45000000</v>
      </c>
      <c r="Q56" s="16" t="s">
        <v>56</v>
      </c>
      <c r="R56" s="16" t="s">
        <v>15</v>
      </c>
      <c r="S56" s="17" t="str">
        <f t="shared" si="2"/>
        <v xml:space="preserve"> quarante cinq millions</v>
      </c>
      <c r="T56" s="17"/>
    </row>
    <row r="57" spans="2:20" x14ac:dyDescent="0.35">
      <c r="B57" s="16">
        <v>32000</v>
      </c>
      <c r="C57" s="16" t="s">
        <v>35</v>
      </c>
      <c r="D57" s="17"/>
      <c r="E57" s="17"/>
      <c r="F57" s="16" t="s">
        <v>14</v>
      </c>
      <c r="G57" s="17" t="str">
        <f t="shared" si="4"/>
        <v xml:space="preserve"> trente deux mille</v>
      </c>
      <c r="H57" s="16">
        <v>56</v>
      </c>
      <c r="I57" s="16" t="s">
        <v>61</v>
      </c>
      <c r="J57" s="16" t="s">
        <v>17</v>
      </c>
      <c r="K57" s="17" t="str">
        <f t="shared" si="3"/>
        <v xml:space="preserve"> cinquante six </v>
      </c>
      <c r="L57" s="16">
        <v>46000</v>
      </c>
      <c r="M57" s="16" t="s">
        <v>57</v>
      </c>
      <c r="N57" s="16" t="s">
        <v>14</v>
      </c>
      <c r="O57" s="17" t="str">
        <f t="shared" si="1"/>
        <v xml:space="preserve"> quarante six  mille</v>
      </c>
      <c r="P57" s="16">
        <v>46000000</v>
      </c>
      <c r="Q57" s="16" t="s">
        <v>57</v>
      </c>
      <c r="R57" s="16" t="s">
        <v>15</v>
      </c>
      <c r="S57" s="17" t="str">
        <f t="shared" si="2"/>
        <v xml:space="preserve"> quarante six  millions</v>
      </c>
      <c r="T57" s="17"/>
    </row>
    <row r="58" spans="2:20" x14ac:dyDescent="0.35">
      <c r="B58" s="16">
        <v>33000</v>
      </c>
      <c r="C58" s="16" t="s">
        <v>37</v>
      </c>
      <c r="D58" s="17"/>
      <c r="E58" s="17"/>
      <c r="F58" s="16" t="s">
        <v>14</v>
      </c>
      <c r="G58" s="17" t="str">
        <f t="shared" si="4"/>
        <v xml:space="preserve"> trente trois mille</v>
      </c>
      <c r="H58" s="16">
        <v>57</v>
      </c>
      <c r="I58" s="16" t="s">
        <v>61</v>
      </c>
      <c r="J58" s="16" t="s">
        <v>21</v>
      </c>
      <c r="K58" s="17" t="str">
        <f t="shared" si="3"/>
        <v xml:space="preserve"> cinquante sept</v>
      </c>
      <c r="L58" s="16">
        <v>47000</v>
      </c>
      <c r="M58" s="16" t="s">
        <v>58</v>
      </c>
      <c r="N58" s="16" t="s">
        <v>14</v>
      </c>
      <c r="O58" s="17" t="str">
        <f t="shared" si="1"/>
        <v xml:space="preserve"> quarante sept mille</v>
      </c>
      <c r="P58" s="16">
        <v>47000000</v>
      </c>
      <c r="Q58" s="16" t="s">
        <v>58</v>
      </c>
      <c r="R58" s="16" t="s">
        <v>15</v>
      </c>
      <c r="S58" s="17" t="str">
        <f t="shared" si="2"/>
        <v xml:space="preserve"> quarante sept millions</v>
      </c>
      <c r="T58" s="17"/>
    </row>
    <row r="59" spans="2:20" x14ac:dyDescent="0.35">
      <c r="B59" s="16">
        <v>34000</v>
      </c>
      <c r="C59" s="16" t="s">
        <v>40</v>
      </c>
      <c r="D59" s="17"/>
      <c r="E59" s="17"/>
      <c r="F59" s="16" t="s">
        <v>14</v>
      </c>
      <c r="G59" s="17" t="str">
        <f t="shared" si="4"/>
        <v xml:space="preserve"> trente quatre mille</v>
      </c>
      <c r="H59" s="16">
        <v>58</v>
      </c>
      <c r="I59" s="16" t="s">
        <v>61</v>
      </c>
      <c r="J59" s="16" t="s">
        <v>25</v>
      </c>
      <c r="K59" s="17" t="str">
        <f t="shared" si="3"/>
        <v xml:space="preserve"> cinquante huit</v>
      </c>
      <c r="L59" s="16">
        <v>48000</v>
      </c>
      <c r="M59" s="16" t="s">
        <v>59</v>
      </c>
      <c r="N59" s="16" t="s">
        <v>14</v>
      </c>
      <c r="O59" s="17" t="str">
        <f t="shared" si="1"/>
        <v xml:space="preserve"> quarante huit mille</v>
      </c>
      <c r="P59" s="16">
        <v>48000000</v>
      </c>
      <c r="Q59" s="16" t="s">
        <v>59</v>
      </c>
      <c r="R59" s="16" t="s">
        <v>15</v>
      </c>
      <c r="S59" s="17" t="str">
        <f t="shared" si="2"/>
        <v xml:space="preserve"> quarante huit millions</v>
      </c>
      <c r="T59" s="17"/>
    </row>
    <row r="60" spans="2:20" x14ac:dyDescent="0.35">
      <c r="B60" s="16">
        <v>35000</v>
      </c>
      <c r="C60" s="16" t="s">
        <v>43</v>
      </c>
      <c r="D60" s="17"/>
      <c r="E60" s="17"/>
      <c r="F60" s="16" t="s">
        <v>14</v>
      </c>
      <c r="G60" s="17" t="str">
        <f t="shared" si="4"/>
        <v xml:space="preserve"> trente cinq mille</v>
      </c>
      <c r="H60" s="16">
        <v>59</v>
      </c>
      <c r="I60" s="16" t="s">
        <v>61</v>
      </c>
      <c r="J60" s="16" t="s">
        <v>28</v>
      </c>
      <c r="K60" s="17" t="str">
        <f t="shared" si="3"/>
        <v xml:space="preserve"> cinquante neuf</v>
      </c>
      <c r="L60" s="16">
        <v>49000</v>
      </c>
      <c r="M60" s="16" t="s">
        <v>60</v>
      </c>
      <c r="N60" s="16" t="s">
        <v>14</v>
      </c>
      <c r="O60" s="17" t="str">
        <f t="shared" si="1"/>
        <v xml:space="preserve"> quarante neuf mille</v>
      </c>
      <c r="P60" s="16">
        <v>49000000</v>
      </c>
      <c r="Q60" s="16" t="s">
        <v>60</v>
      </c>
      <c r="R60" s="16" t="s">
        <v>15</v>
      </c>
      <c r="S60" s="17" t="str">
        <f t="shared" si="2"/>
        <v xml:space="preserve"> quarante neuf millions</v>
      </c>
      <c r="T60" s="17"/>
    </row>
    <row r="61" spans="2:20" x14ac:dyDescent="0.35">
      <c r="B61" s="16">
        <v>36000</v>
      </c>
      <c r="C61" s="16" t="s">
        <v>45</v>
      </c>
      <c r="D61" s="17"/>
      <c r="E61" s="17"/>
      <c r="F61" s="16" t="s">
        <v>14</v>
      </c>
      <c r="G61" s="17" t="str">
        <f t="shared" si="4"/>
        <v xml:space="preserve"> trente six  mille</v>
      </c>
      <c r="H61" s="16">
        <v>60</v>
      </c>
      <c r="I61" s="16" t="s">
        <v>71</v>
      </c>
      <c r="J61" s="16"/>
      <c r="K61" s="17" t="str">
        <f t="shared" si="3"/>
        <v xml:space="preserve"> soixante</v>
      </c>
      <c r="L61" s="16">
        <v>50000</v>
      </c>
      <c r="M61" s="16" t="s">
        <v>61</v>
      </c>
      <c r="N61" s="16" t="s">
        <v>14</v>
      </c>
      <c r="O61" s="17" t="str">
        <f t="shared" si="1"/>
        <v xml:space="preserve"> cinquante mille</v>
      </c>
      <c r="P61" s="16">
        <v>50000000</v>
      </c>
      <c r="Q61" s="16" t="s">
        <v>61</v>
      </c>
      <c r="R61" s="16" t="s">
        <v>15</v>
      </c>
      <c r="S61" s="17" t="str">
        <f t="shared" si="2"/>
        <v xml:space="preserve"> cinquante millions</v>
      </c>
      <c r="T61" s="17"/>
    </row>
    <row r="62" spans="2:20" x14ac:dyDescent="0.35">
      <c r="B62" s="16">
        <v>37000</v>
      </c>
      <c r="C62" s="16" t="s">
        <v>47</v>
      </c>
      <c r="D62" s="17"/>
      <c r="E62" s="17"/>
      <c r="F62" s="16" t="s">
        <v>14</v>
      </c>
      <c r="G62" s="17" t="str">
        <f t="shared" si="4"/>
        <v xml:space="preserve"> trente sept mille</v>
      </c>
      <c r="H62" s="16">
        <v>61</v>
      </c>
      <c r="I62" s="16" t="s">
        <v>71</v>
      </c>
      <c r="J62" s="16" t="s">
        <v>32</v>
      </c>
      <c r="K62" s="17" t="str">
        <f t="shared" si="3"/>
        <v xml:space="preserve"> soixante et un</v>
      </c>
      <c r="L62" s="16">
        <v>51000</v>
      </c>
      <c r="M62" s="16" t="s">
        <v>62</v>
      </c>
      <c r="N62" s="16" t="s">
        <v>14</v>
      </c>
      <c r="O62" s="17" t="str">
        <f t="shared" si="1"/>
        <v xml:space="preserve"> cinquante et un mille</v>
      </c>
      <c r="P62" s="16">
        <v>51000000</v>
      </c>
      <c r="Q62" s="16" t="s">
        <v>62</v>
      </c>
      <c r="R62" s="16" t="s">
        <v>15</v>
      </c>
      <c r="S62" s="17" t="str">
        <f t="shared" si="2"/>
        <v xml:space="preserve"> cinquante et un millions</v>
      </c>
      <c r="T62" s="17"/>
    </row>
    <row r="63" spans="2:20" x14ac:dyDescent="0.35">
      <c r="B63" s="16">
        <v>38000</v>
      </c>
      <c r="C63" s="16" t="s">
        <v>49</v>
      </c>
      <c r="D63" s="17"/>
      <c r="E63" s="17"/>
      <c r="F63" s="16" t="s">
        <v>14</v>
      </c>
      <c r="G63" s="17" t="str">
        <f t="shared" si="4"/>
        <v xml:space="preserve"> trente huit mille</v>
      </c>
      <c r="H63" s="16">
        <v>62</v>
      </c>
      <c r="I63" s="16" t="s">
        <v>71</v>
      </c>
      <c r="J63" s="16" t="s">
        <v>16</v>
      </c>
      <c r="K63" s="17" t="str">
        <f t="shared" si="3"/>
        <v xml:space="preserve"> soixante deux</v>
      </c>
      <c r="L63" s="16">
        <v>52000</v>
      </c>
      <c r="M63" s="16" t="s">
        <v>63</v>
      </c>
      <c r="N63" s="16" t="s">
        <v>14</v>
      </c>
      <c r="O63" s="17" t="str">
        <f t="shared" si="1"/>
        <v xml:space="preserve"> cinquante deux mille</v>
      </c>
      <c r="P63" s="16">
        <v>52000000</v>
      </c>
      <c r="Q63" s="16" t="s">
        <v>63</v>
      </c>
      <c r="R63" s="16" t="s">
        <v>15</v>
      </c>
      <c r="S63" s="17" t="str">
        <f t="shared" si="2"/>
        <v xml:space="preserve"> cinquante deux millions</v>
      </c>
      <c r="T63" s="17"/>
    </row>
    <row r="64" spans="2:20" x14ac:dyDescent="0.35">
      <c r="B64" s="16">
        <v>39000</v>
      </c>
      <c r="C64" s="16" t="s">
        <v>50</v>
      </c>
      <c r="D64" s="17"/>
      <c r="E64" s="17"/>
      <c r="F64" s="16" t="s">
        <v>14</v>
      </c>
      <c r="G64" s="17" t="str">
        <f t="shared" si="4"/>
        <v xml:space="preserve"> trente neuf mille</v>
      </c>
      <c r="H64" s="16">
        <v>63</v>
      </c>
      <c r="I64" s="16" t="s">
        <v>71</v>
      </c>
      <c r="J64" s="16" t="s">
        <v>20</v>
      </c>
      <c r="K64" s="17" t="str">
        <f t="shared" si="3"/>
        <v xml:space="preserve"> soixante trois</v>
      </c>
      <c r="L64" s="16">
        <v>53000</v>
      </c>
      <c r="M64" s="16" t="s">
        <v>64</v>
      </c>
      <c r="N64" s="16" t="s">
        <v>14</v>
      </c>
      <c r="O64" s="17" t="str">
        <f t="shared" si="1"/>
        <v xml:space="preserve"> cinquante trois mille</v>
      </c>
      <c r="P64" s="16">
        <v>53000000</v>
      </c>
      <c r="Q64" s="16" t="s">
        <v>64</v>
      </c>
      <c r="R64" s="16" t="s">
        <v>15</v>
      </c>
      <c r="S64" s="17" t="str">
        <f t="shared" si="2"/>
        <v xml:space="preserve"> cinquante trois millions</v>
      </c>
      <c r="T64" s="17"/>
    </row>
    <row r="65" spans="2:20" x14ac:dyDescent="0.35">
      <c r="B65" s="16">
        <v>40000</v>
      </c>
      <c r="C65" s="16" t="s">
        <v>51</v>
      </c>
      <c r="D65" s="17"/>
      <c r="E65" s="17"/>
      <c r="F65" s="16" t="s">
        <v>14</v>
      </c>
      <c r="G65" s="17" t="str">
        <f t="shared" si="4"/>
        <v xml:space="preserve"> quarante mille</v>
      </c>
      <c r="H65" s="16">
        <v>64</v>
      </c>
      <c r="I65" s="16" t="s">
        <v>71</v>
      </c>
      <c r="J65" s="16" t="s">
        <v>24</v>
      </c>
      <c r="K65" s="17" t="str">
        <f t="shared" si="3"/>
        <v xml:space="preserve"> soixante quatre</v>
      </c>
      <c r="L65" s="16">
        <v>54000</v>
      </c>
      <c r="M65" s="16" t="s">
        <v>65</v>
      </c>
      <c r="N65" s="16" t="s">
        <v>14</v>
      </c>
      <c r="O65" s="17" t="str">
        <f t="shared" si="1"/>
        <v xml:space="preserve"> cinquante quatre mille</v>
      </c>
      <c r="P65" s="16">
        <v>54000000</v>
      </c>
      <c r="Q65" s="16" t="s">
        <v>65</v>
      </c>
      <c r="R65" s="16" t="s">
        <v>15</v>
      </c>
      <c r="S65" s="17" t="str">
        <f t="shared" si="2"/>
        <v xml:space="preserve"> cinquante quatre millions</v>
      </c>
      <c r="T65" s="17"/>
    </row>
    <row r="66" spans="2:20" x14ac:dyDescent="0.35">
      <c r="B66" s="16">
        <v>41000</v>
      </c>
      <c r="C66" s="16" t="s">
        <v>52</v>
      </c>
      <c r="D66" s="17"/>
      <c r="E66" s="17"/>
      <c r="F66" s="16" t="s">
        <v>14</v>
      </c>
      <c r="G66" s="17" t="str">
        <f t="shared" si="4"/>
        <v xml:space="preserve"> quarante et un mille</v>
      </c>
      <c r="H66" s="16">
        <v>65</v>
      </c>
      <c r="I66" s="16" t="s">
        <v>71</v>
      </c>
      <c r="J66" s="16" t="s">
        <v>11</v>
      </c>
      <c r="K66" s="17" t="str">
        <f t="shared" si="3"/>
        <v xml:space="preserve"> soixante cinq</v>
      </c>
      <c r="L66" s="16">
        <v>55000</v>
      </c>
      <c r="M66" s="16" t="s">
        <v>66</v>
      </c>
      <c r="N66" s="16" t="s">
        <v>14</v>
      </c>
      <c r="O66" s="17" t="str">
        <f t="shared" si="1"/>
        <v xml:space="preserve"> cinquante cinq mille</v>
      </c>
      <c r="P66" s="16">
        <v>55000000</v>
      </c>
      <c r="Q66" s="16" t="s">
        <v>66</v>
      </c>
      <c r="R66" s="16" t="s">
        <v>15</v>
      </c>
      <c r="S66" s="17" t="str">
        <f t="shared" si="2"/>
        <v xml:space="preserve"> cinquante cinq millions</v>
      </c>
      <c r="T66" s="17"/>
    </row>
    <row r="67" spans="2:20" x14ac:dyDescent="0.35">
      <c r="B67" s="16">
        <v>42000</v>
      </c>
      <c r="C67" s="16" t="s">
        <v>53</v>
      </c>
      <c r="D67" s="17"/>
      <c r="E67" s="17"/>
      <c r="F67" s="16" t="s">
        <v>14</v>
      </c>
      <c r="G67" s="17" t="str">
        <f t="shared" si="4"/>
        <v xml:space="preserve"> quarante deux mille</v>
      </c>
      <c r="H67" s="16">
        <v>66</v>
      </c>
      <c r="I67" s="16" t="s">
        <v>71</v>
      </c>
      <c r="J67" s="16" t="s">
        <v>17</v>
      </c>
      <c r="K67" s="17" t="str">
        <f t="shared" si="3"/>
        <v xml:space="preserve"> soixante six </v>
      </c>
      <c r="L67" s="16">
        <v>56000</v>
      </c>
      <c r="M67" s="16" t="s">
        <v>67</v>
      </c>
      <c r="N67" s="16" t="s">
        <v>14</v>
      </c>
      <c r="O67" s="17" t="str">
        <f t="shared" si="1"/>
        <v xml:space="preserve"> cinquante six  mille</v>
      </c>
      <c r="P67" s="16">
        <v>56000000</v>
      </c>
      <c r="Q67" s="16" t="s">
        <v>67</v>
      </c>
      <c r="R67" s="16" t="s">
        <v>15</v>
      </c>
      <c r="S67" s="17" t="str">
        <f t="shared" si="2"/>
        <v xml:space="preserve"> cinquante six  millions</v>
      </c>
      <c r="T67" s="17"/>
    </row>
    <row r="68" spans="2:20" x14ac:dyDescent="0.35">
      <c r="B68" s="16">
        <v>43000</v>
      </c>
      <c r="C68" s="16" t="s">
        <v>54</v>
      </c>
      <c r="D68" s="17"/>
      <c r="E68" s="17"/>
      <c r="F68" s="16" t="s">
        <v>14</v>
      </c>
      <c r="G68" s="17" t="str">
        <f t="shared" si="4"/>
        <v xml:space="preserve"> quarante trois mille</v>
      </c>
      <c r="H68" s="16">
        <v>67</v>
      </c>
      <c r="I68" s="16" t="s">
        <v>71</v>
      </c>
      <c r="J68" s="16" t="s">
        <v>21</v>
      </c>
      <c r="K68" s="17" t="str">
        <f t="shared" si="3"/>
        <v xml:space="preserve"> soixante sept</v>
      </c>
      <c r="L68" s="16">
        <v>57000</v>
      </c>
      <c r="M68" s="16" t="s">
        <v>68</v>
      </c>
      <c r="N68" s="16" t="s">
        <v>14</v>
      </c>
      <c r="O68" s="17" t="str">
        <f t="shared" si="1"/>
        <v xml:space="preserve"> cinquante sept mille</v>
      </c>
      <c r="P68" s="16">
        <v>57000000</v>
      </c>
      <c r="Q68" s="16" t="s">
        <v>68</v>
      </c>
      <c r="R68" s="16" t="s">
        <v>15</v>
      </c>
      <c r="S68" s="17" t="str">
        <f t="shared" si="2"/>
        <v xml:space="preserve"> cinquante sept millions</v>
      </c>
      <c r="T68" s="17"/>
    </row>
    <row r="69" spans="2:20" x14ac:dyDescent="0.35">
      <c r="B69" s="16">
        <v>44000</v>
      </c>
      <c r="C69" s="16" t="s">
        <v>55</v>
      </c>
      <c r="D69" s="17"/>
      <c r="E69" s="17"/>
      <c r="F69" s="16" t="s">
        <v>14</v>
      </c>
      <c r="G69" s="17" t="str">
        <f t="shared" si="4"/>
        <v xml:space="preserve"> quarante quatre mille</v>
      </c>
      <c r="H69" s="16">
        <v>68</v>
      </c>
      <c r="I69" s="16" t="s">
        <v>71</v>
      </c>
      <c r="J69" s="16" t="s">
        <v>25</v>
      </c>
      <c r="K69" s="17" t="str">
        <f t="shared" si="3"/>
        <v xml:space="preserve"> soixante huit</v>
      </c>
      <c r="L69" s="16">
        <v>58000</v>
      </c>
      <c r="M69" s="16" t="s">
        <v>69</v>
      </c>
      <c r="N69" s="16" t="s">
        <v>14</v>
      </c>
      <c r="O69" s="17" t="str">
        <f t="shared" si="1"/>
        <v xml:space="preserve"> cinquante huit mille</v>
      </c>
      <c r="P69" s="16">
        <v>58000000</v>
      </c>
      <c r="Q69" s="16" t="s">
        <v>69</v>
      </c>
      <c r="R69" s="16" t="s">
        <v>15</v>
      </c>
      <c r="S69" s="17" t="str">
        <f t="shared" si="2"/>
        <v xml:space="preserve"> cinquante huit millions</v>
      </c>
      <c r="T69" s="17"/>
    </row>
    <row r="70" spans="2:20" x14ac:dyDescent="0.35">
      <c r="B70" s="16">
        <v>45000</v>
      </c>
      <c r="C70" s="16" t="s">
        <v>56</v>
      </c>
      <c r="D70" s="17"/>
      <c r="E70" s="17"/>
      <c r="F70" s="16" t="s">
        <v>14</v>
      </c>
      <c r="G70" s="17" t="str">
        <f t="shared" si="4"/>
        <v xml:space="preserve"> quarante cinq mille</v>
      </c>
      <c r="H70" s="16">
        <v>69</v>
      </c>
      <c r="I70" s="16" t="s">
        <v>71</v>
      </c>
      <c r="J70" s="16" t="s">
        <v>28</v>
      </c>
      <c r="K70" s="17" t="str">
        <f t="shared" si="3"/>
        <v xml:space="preserve"> soixante neuf</v>
      </c>
      <c r="L70" s="16">
        <v>59000</v>
      </c>
      <c r="M70" s="16" t="s">
        <v>70</v>
      </c>
      <c r="N70" s="16" t="s">
        <v>14</v>
      </c>
      <c r="O70" s="17" t="str">
        <f t="shared" si="1"/>
        <v xml:space="preserve"> cinquante neuf mille</v>
      </c>
      <c r="P70" s="16">
        <v>59000000</v>
      </c>
      <c r="Q70" s="16" t="s">
        <v>70</v>
      </c>
      <c r="R70" s="16" t="s">
        <v>15</v>
      </c>
      <c r="S70" s="17" t="str">
        <f t="shared" si="2"/>
        <v xml:space="preserve"> cinquante neuf millions</v>
      </c>
      <c r="T70" s="17"/>
    </row>
    <row r="71" spans="2:20" x14ac:dyDescent="0.35">
      <c r="B71" s="16">
        <v>46000</v>
      </c>
      <c r="C71" s="16" t="s">
        <v>57</v>
      </c>
      <c r="D71" s="17"/>
      <c r="E71" s="17"/>
      <c r="F71" s="16" t="s">
        <v>14</v>
      </c>
      <c r="G71" s="17" t="str">
        <f t="shared" si="4"/>
        <v xml:space="preserve"> quarante six  mille</v>
      </c>
      <c r="H71" s="16">
        <v>70</v>
      </c>
      <c r="I71" s="16" t="s">
        <v>71</v>
      </c>
      <c r="J71" s="16" t="s">
        <v>39</v>
      </c>
      <c r="K71" s="17" t="str">
        <f t="shared" si="3"/>
        <v xml:space="preserve"> soixante dix</v>
      </c>
      <c r="L71" s="16">
        <v>60000</v>
      </c>
      <c r="M71" s="16" t="s">
        <v>71</v>
      </c>
      <c r="N71" s="16" t="s">
        <v>14</v>
      </c>
      <c r="O71" s="17" t="str">
        <f t="shared" si="1"/>
        <v xml:space="preserve"> soixante mille</v>
      </c>
      <c r="P71" s="16">
        <v>60000000</v>
      </c>
      <c r="Q71" s="16" t="s">
        <v>71</v>
      </c>
      <c r="R71" s="16" t="s">
        <v>15</v>
      </c>
      <c r="S71" s="17" t="str">
        <f t="shared" si="2"/>
        <v xml:space="preserve"> soixante millions</v>
      </c>
      <c r="T71" s="17"/>
    </row>
    <row r="72" spans="2:20" x14ac:dyDescent="0.35">
      <c r="B72" s="16">
        <v>47000</v>
      </c>
      <c r="C72" s="16" t="s">
        <v>58</v>
      </c>
      <c r="D72" s="17"/>
      <c r="E72" s="17"/>
      <c r="F72" s="16" t="s">
        <v>14</v>
      </c>
      <c r="G72" s="17" t="str">
        <f t="shared" si="4"/>
        <v xml:space="preserve"> quarante sept mille</v>
      </c>
      <c r="H72" s="16">
        <v>71</v>
      </c>
      <c r="I72" s="16" t="s">
        <v>71</v>
      </c>
      <c r="J72" s="16" t="s">
        <v>82</v>
      </c>
      <c r="K72" s="17" t="str">
        <f t="shared" si="3"/>
        <v xml:space="preserve"> soixante et onze</v>
      </c>
      <c r="L72" s="16">
        <v>61000</v>
      </c>
      <c r="M72" s="16" t="s">
        <v>72</v>
      </c>
      <c r="N72" s="16" t="s">
        <v>14</v>
      </c>
      <c r="O72" s="17" t="str">
        <f t="shared" si="1"/>
        <v xml:space="preserve"> soixante et un mille</v>
      </c>
      <c r="P72" s="16">
        <v>61000000</v>
      </c>
      <c r="Q72" s="16" t="s">
        <v>72</v>
      </c>
      <c r="R72" s="16" t="s">
        <v>15</v>
      </c>
      <c r="S72" s="17" t="str">
        <f t="shared" si="2"/>
        <v xml:space="preserve"> soixante et un millions</v>
      </c>
      <c r="T72" s="17"/>
    </row>
    <row r="73" spans="2:20" x14ac:dyDescent="0.35">
      <c r="B73" s="16">
        <v>48000</v>
      </c>
      <c r="C73" s="16" t="s">
        <v>59</v>
      </c>
      <c r="D73" s="17"/>
      <c r="E73" s="17"/>
      <c r="F73" s="16" t="s">
        <v>14</v>
      </c>
      <c r="G73" s="17" t="str">
        <f t="shared" si="4"/>
        <v xml:space="preserve"> quarante huit mille</v>
      </c>
      <c r="H73" s="16">
        <v>72</v>
      </c>
      <c r="I73" s="16" t="s">
        <v>71</v>
      </c>
      <c r="J73" s="16" t="s">
        <v>44</v>
      </c>
      <c r="K73" s="17" t="str">
        <f t="shared" si="3"/>
        <v xml:space="preserve"> soixante douze</v>
      </c>
      <c r="L73" s="16">
        <v>62000</v>
      </c>
      <c r="M73" s="16" t="s">
        <v>73</v>
      </c>
      <c r="N73" s="16" t="s">
        <v>14</v>
      </c>
      <c r="O73" s="17" t="str">
        <f t="shared" si="1"/>
        <v xml:space="preserve"> soixante deux mille</v>
      </c>
      <c r="P73" s="16">
        <v>62000000</v>
      </c>
      <c r="Q73" s="16" t="s">
        <v>73</v>
      </c>
      <c r="R73" s="16" t="s">
        <v>15</v>
      </c>
      <c r="S73" s="17" t="str">
        <f t="shared" si="2"/>
        <v xml:space="preserve"> soixante deux millions</v>
      </c>
      <c r="T73" s="17"/>
    </row>
    <row r="74" spans="2:20" x14ac:dyDescent="0.35">
      <c r="B74" s="16">
        <v>49000</v>
      </c>
      <c r="C74" s="16" t="s">
        <v>60</v>
      </c>
      <c r="D74" s="17"/>
      <c r="E74" s="17"/>
      <c r="F74" s="16" t="s">
        <v>14</v>
      </c>
      <c r="G74" s="17" t="str">
        <f t="shared" si="4"/>
        <v xml:space="preserve"> quarante neuf mille</v>
      </c>
      <c r="H74" s="16">
        <v>73</v>
      </c>
      <c r="I74" s="16" t="s">
        <v>71</v>
      </c>
      <c r="J74" s="16" t="s">
        <v>46</v>
      </c>
      <c r="K74" s="17" t="str">
        <f t="shared" si="3"/>
        <v xml:space="preserve"> soixante treize</v>
      </c>
      <c r="L74" s="16">
        <v>63000</v>
      </c>
      <c r="M74" s="16" t="s">
        <v>74</v>
      </c>
      <c r="N74" s="16" t="s">
        <v>14</v>
      </c>
      <c r="O74" s="17" t="str">
        <f t="shared" si="1"/>
        <v xml:space="preserve"> soixante trois mille</v>
      </c>
      <c r="P74" s="16">
        <v>63000000</v>
      </c>
      <c r="Q74" s="16" t="s">
        <v>74</v>
      </c>
      <c r="R74" s="16" t="s">
        <v>15</v>
      </c>
      <c r="S74" s="17" t="str">
        <f t="shared" si="2"/>
        <v xml:space="preserve"> soixante trois millions</v>
      </c>
      <c r="T74" s="17"/>
    </row>
    <row r="75" spans="2:20" x14ac:dyDescent="0.35">
      <c r="B75" s="16">
        <v>50000</v>
      </c>
      <c r="C75" s="16" t="s">
        <v>61</v>
      </c>
      <c r="D75" s="17"/>
      <c r="E75" s="17"/>
      <c r="F75" s="16" t="s">
        <v>14</v>
      </c>
      <c r="G75" s="17" t="str">
        <f t="shared" si="4"/>
        <v xml:space="preserve"> cinquante mille</v>
      </c>
      <c r="H75" s="16">
        <v>74</v>
      </c>
      <c r="I75" s="16" t="s">
        <v>71</v>
      </c>
      <c r="J75" s="16" t="s">
        <v>48</v>
      </c>
      <c r="K75" s="17" t="str">
        <f t="shared" si="3"/>
        <v xml:space="preserve"> soixante quatorze</v>
      </c>
      <c r="L75" s="16">
        <v>64000</v>
      </c>
      <c r="M75" s="16" t="s">
        <v>75</v>
      </c>
      <c r="N75" s="16" t="s">
        <v>14</v>
      </c>
      <c r="O75" s="17" t="str">
        <f t="shared" si="1"/>
        <v xml:space="preserve"> soixante quatre mille</v>
      </c>
      <c r="P75" s="16">
        <v>64000000</v>
      </c>
      <c r="Q75" s="16" t="s">
        <v>75</v>
      </c>
      <c r="R75" s="16" t="s">
        <v>15</v>
      </c>
      <c r="S75" s="17" t="str">
        <f t="shared" si="2"/>
        <v xml:space="preserve"> soixante quatre millions</v>
      </c>
      <c r="T75" s="17"/>
    </row>
    <row r="76" spans="2:20" x14ac:dyDescent="0.35">
      <c r="B76" s="16">
        <v>51000</v>
      </c>
      <c r="C76" s="16" t="s">
        <v>62</v>
      </c>
      <c r="D76" s="17"/>
      <c r="E76" s="17"/>
      <c r="F76" s="16" t="s">
        <v>14</v>
      </c>
      <c r="G76" s="17" t="str">
        <f t="shared" si="4"/>
        <v xml:space="preserve"> cinquante et un mille</v>
      </c>
      <c r="H76" s="16">
        <v>75</v>
      </c>
      <c r="I76" s="16" t="s">
        <v>71</v>
      </c>
      <c r="J76" s="16" t="s">
        <v>13</v>
      </c>
      <c r="K76" s="17" t="str">
        <f t="shared" si="3"/>
        <v xml:space="preserve"> soixante quinze</v>
      </c>
      <c r="L76" s="16">
        <v>65000</v>
      </c>
      <c r="M76" s="16" t="s">
        <v>76</v>
      </c>
      <c r="N76" s="16" t="s">
        <v>14</v>
      </c>
      <c r="O76" s="17" t="str">
        <f t="shared" si="1"/>
        <v xml:space="preserve"> soixante cinq mille</v>
      </c>
      <c r="P76" s="16">
        <v>65000000</v>
      </c>
      <c r="Q76" s="16" t="s">
        <v>76</v>
      </c>
      <c r="R76" s="16" t="s">
        <v>15</v>
      </c>
      <c r="S76" s="17" t="str">
        <f t="shared" si="2"/>
        <v xml:space="preserve"> soixante cinq millions</v>
      </c>
      <c r="T76" s="17"/>
    </row>
    <row r="77" spans="2:20" x14ac:dyDescent="0.35">
      <c r="B77" s="16">
        <v>52000</v>
      </c>
      <c r="C77" s="16" t="s">
        <v>63</v>
      </c>
      <c r="D77" s="17"/>
      <c r="E77" s="17"/>
      <c r="F77" s="16" t="s">
        <v>14</v>
      </c>
      <c r="G77" s="17" t="str">
        <f t="shared" si="4"/>
        <v xml:space="preserve"> cinquante deux mille</v>
      </c>
      <c r="H77" s="16">
        <v>76</v>
      </c>
      <c r="I77" s="16" t="s">
        <v>71</v>
      </c>
      <c r="J77" s="16" t="s">
        <v>19</v>
      </c>
      <c r="K77" s="17" t="str">
        <f t="shared" si="3"/>
        <v xml:space="preserve"> soixante seize</v>
      </c>
      <c r="L77" s="16">
        <v>66000</v>
      </c>
      <c r="M77" s="16" t="s">
        <v>77</v>
      </c>
      <c r="N77" s="16" t="s">
        <v>14</v>
      </c>
      <c r="O77" s="17" t="str">
        <f t="shared" si="1"/>
        <v xml:space="preserve"> soixante six  mille</v>
      </c>
      <c r="P77" s="16">
        <v>66000000</v>
      </c>
      <c r="Q77" s="16" t="s">
        <v>77</v>
      </c>
      <c r="R77" s="16" t="s">
        <v>15</v>
      </c>
      <c r="S77" s="17" t="str">
        <f t="shared" si="2"/>
        <v xml:space="preserve"> soixante six  millions</v>
      </c>
      <c r="T77" s="17"/>
    </row>
    <row r="78" spans="2:20" x14ac:dyDescent="0.35">
      <c r="B78" s="16">
        <v>53000</v>
      </c>
      <c r="C78" s="16" t="s">
        <v>64</v>
      </c>
      <c r="D78" s="17"/>
      <c r="E78" s="17"/>
      <c r="F78" s="16" t="s">
        <v>14</v>
      </c>
      <c r="G78" s="17" t="str">
        <f t="shared" si="4"/>
        <v xml:space="preserve"> cinquante trois mille</v>
      </c>
      <c r="H78" s="16">
        <v>77</v>
      </c>
      <c r="I78" s="16" t="s">
        <v>71</v>
      </c>
      <c r="J78" s="16" t="s">
        <v>23</v>
      </c>
      <c r="K78" s="17" t="str">
        <f t="shared" si="3"/>
        <v xml:space="preserve"> soixante dix sept</v>
      </c>
      <c r="L78" s="16">
        <v>67000</v>
      </c>
      <c r="M78" s="16" t="s">
        <v>78</v>
      </c>
      <c r="N78" s="16" t="s">
        <v>14</v>
      </c>
      <c r="O78" s="17" t="str">
        <f t="shared" ref="O78:O110" si="5">CONCATENATE(M78,N78)</f>
        <v xml:space="preserve"> soixante sept mille</v>
      </c>
      <c r="P78" s="16">
        <v>67000000</v>
      </c>
      <c r="Q78" s="16" t="s">
        <v>78</v>
      </c>
      <c r="R78" s="16" t="s">
        <v>15</v>
      </c>
      <c r="S78" s="17" t="str">
        <f t="shared" ref="S78:S109" si="6">CONCATENATE(Q78,R78)</f>
        <v xml:space="preserve"> soixante sept millions</v>
      </c>
      <c r="T78" s="17"/>
    </row>
    <row r="79" spans="2:20" x14ac:dyDescent="0.35">
      <c r="B79" s="16">
        <v>54000</v>
      </c>
      <c r="C79" s="16" t="s">
        <v>65</v>
      </c>
      <c r="D79" s="17"/>
      <c r="E79" s="17"/>
      <c r="F79" s="16" t="s">
        <v>14</v>
      </c>
      <c r="G79" s="17" t="str">
        <f t="shared" si="4"/>
        <v xml:space="preserve"> cinquante quatre mille</v>
      </c>
      <c r="H79" s="16">
        <v>78</v>
      </c>
      <c r="I79" s="16" t="s">
        <v>71</v>
      </c>
      <c r="J79" s="16" t="s">
        <v>27</v>
      </c>
      <c r="K79" s="17" t="str">
        <f t="shared" si="3"/>
        <v xml:space="preserve"> soixante dix huit</v>
      </c>
      <c r="L79" s="16">
        <v>68000</v>
      </c>
      <c r="M79" s="16" t="s">
        <v>79</v>
      </c>
      <c r="N79" s="16" t="s">
        <v>14</v>
      </c>
      <c r="O79" s="17" t="str">
        <f t="shared" si="5"/>
        <v xml:space="preserve"> soixante huit mille</v>
      </c>
      <c r="P79" s="16">
        <v>68000000</v>
      </c>
      <c r="Q79" s="16" t="s">
        <v>79</v>
      </c>
      <c r="R79" s="16" t="s">
        <v>15</v>
      </c>
      <c r="S79" s="17" t="str">
        <f t="shared" si="6"/>
        <v xml:space="preserve"> soixante huit millions</v>
      </c>
      <c r="T79" s="17"/>
    </row>
    <row r="80" spans="2:20" x14ac:dyDescent="0.35">
      <c r="B80" s="16">
        <v>55000</v>
      </c>
      <c r="C80" s="16" t="s">
        <v>66</v>
      </c>
      <c r="D80" s="17"/>
      <c r="E80" s="17"/>
      <c r="F80" s="16" t="s">
        <v>14</v>
      </c>
      <c r="G80" s="17" t="str">
        <f t="shared" si="4"/>
        <v xml:space="preserve"> cinquante cinq mille</v>
      </c>
      <c r="H80" s="16">
        <v>79</v>
      </c>
      <c r="I80" s="16" t="s">
        <v>71</v>
      </c>
      <c r="J80" s="16" t="s">
        <v>30</v>
      </c>
      <c r="K80" s="17" t="str">
        <f t="shared" si="3"/>
        <v xml:space="preserve"> soixante dix neuf</v>
      </c>
      <c r="L80" s="16">
        <v>69000</v>
      </c>
      <c r="M80" s="16" t="s">
        <v>80</v>
      </c>
      <c r="N80" s="16" t="s">
        <v>14</v>
      </c>
      <c r="O80" s="17" t="str">
        <f t="shared" si="5"/>
        <v xml:space="preserve"> soixante neuf mille</v>
      </c>
      <c r="P80" s="16">
        <v>69000000</v>
      </c>
      <c r="Q80" s="16" t="s">
        <v>80</v>
      </c>
      <c r="R80" s="16" t="s">
        <v>15</v>
      </c>
      <c r="S80" s="17" t="str">
        <f t="shared" si="6"/>
        <v xml:space="preserve"> soixante neuf millions</v>
      </c>
      <c r="T80" s="17"/>
    </row>
    <row r="81" spans="2:20" x14ac:dyDescent="0.35">
      <c r="B81" s="16">
        <v>56000</v>
      </c>
      <c r="C81" s="16" t="s">
        <v>67</v>
      </c>
      <c r="D81" s="17"/>
      <c r="E81" s="17"/>
      <c r="F81" s="16" t="s">
        <v>14</v>
      </c>
      <c r="G81" s="17" t="str">
        <f t="shared" si="4"/>
        <v xml:space="preserve"> cinquante six  mille</v>
      </c>
      <c r="H81" s="16">
        <v>80</v>
      </c>
      <c r="I81" s="16" t="s">
        <v>92</v>
      </c>
      <c r="J81" s="16"/>
      <c r="K81" s="17" t="str">
        <f t="shared" si="3"/>
        <v xml:space="preserve"> quatre vingt</v>
      </c>
      <c r="L81" s="16">
        <v>70000</v>
      </c>
      <c r="M81" s="16" t="s">
        <v>81</v>
      </c>
      <c r="N81" s="16" t="s">
        <v>14</v>
      </c>
      <c r="O81" s="17" t="str">
        <f t="shared" si="5"/>
        <v xml:space="preserve"> soixante dix mille</v>
      </c>
      <c r="P81" s="16">
        <v>70000000</v>
      </c>
      <c r="Q81" s="16" t="s">
        <v>81</v>
      </c>
      <c r="R81" s="16" t="s">
        <v>15</v>
      </c>
      <c r="S81" s="17" t="str">
        <f t="shared" si="6"/>
        <v xml:space="preserve"> soixante dix millions</v>
      </c>
      <c r="T81" s="17"/>
    </row>
    <row r="82" spans="2:20" x14ac:dyDescent="0.35">
      <c r="B82" s="16">
        <v>57000</v>
      </c>
      <c r="C82" s="16" t="s">
        <v>68</v>
      </c>
      <c r="D82" s="17"/>
      <c r="E82" s="17"/>
      <c r="F82" s="16" t="s">
        <v>14</v>
      </c>
      <c r="G82" s="17" t="str">
        <f t="shared" si="4"/>
        <v xml:space="preserve"> cinquante sept mille</v>
      </c>
      <c r="H82" s="16">
        <v>81</v>
      </c>
      <c r="I82" s="16" t="s">
        <v>92</v>
      </c>
      <c r="J82" s="16" t="s">
        <v>32</v>
      </c>
      <c r="K82" s="17" t="str">
        <f t="shared" si="3"/>
        <v xml:space="preserve"> quatre vingt et un</v>
      </c>
      <c r="L82" s="16">
        <v>71000</v>
      </c>
      <c r="M82" s="16" t="s">
        <v>83</v>
      </c>
      <c r="N82" s="16" t="s">
        <v>14</v>
      </c>
      <c r="O82" s="17" t="str">
        <f t="shared" si="5"/>
        <v xml:space="preserve"> soixante et onze mille</v>
      </c>
      <c r="P82" s="16">
        <v>71000000</v>
      </c>
      <c r="Q82" s="16" t="s">
        <v>83</v>
      </c>
      <c r="R82" s="16" t="s">
        <v>15</v>
      </c>
      <c r="S82" s="17" t="str">
        <f t="shared" si="6"/>
        <v xml:space="preserve"> soixante et onze millions</v>
      </c>
      <c r="T82" s="17"/>
    </row>
    <row r="83" spans="2:20" x14ac:dyDescent="0.35">
      <c r="B83" s="16">
        <v>58000</v>
      </c>
      <c r="C83" s="16" t="s">
        <v>69</v>
      </c>
      <c r="D83" s="17"/>
      <c r="E83" s="17"/>
      <c r="F83" s="16" t="s">
        <v>14</v>
      </c>
      <c r="G83" s="17" t="str">
        <f t="shared" si="4"/>
        <v xml:space="preserve"> cinquante huit mille</v>
      </c>
      <c r="H83" s="16">
        <v>82</v>
      </c>
      <c r="I83" s="16" t="s">
        <v>92</v>
      </c>
      <c r="J83" s="16" t="s">
        <v>16</v>
      </c>
      <c r="K83" s="17" t="str">
        <f t="shared" si="3"/>
        <v xml:space="preserve"> quatre vingt deux</v>
      </c>
      <c r="L83" s="16">
        <v>72000</v>
      </c>
      <c r="M83" s="16" t="s">
        <v>84</v>
      </c>
      <c r="N83" s="16" t="s">
        <v>14</v>
      </c>
      <c r="O83" s="17" t="str">
        <f t="shared" si="5"/>
        <v xml:space="preserve"> soixante douze mille</v>
      </c>
      <c r="P83" s="16">
        <v>72000000</v>
      </c>
      <c r="Q83" s="16" t="s">
        <v>84</v>
      </c>
      <c r="R83" s="16" t="s">
        <v>15</v>
      </c>
      <c r="S83" s="17" t="str">
        <f t="shared" si="6"/>
        <v xml:space="preserve"> soixante douze millions</v>
      </c>
      <c r="T83" s="17"/>
    </row>
    <row r="84" spans="2:20" x14ac:dyDescent="0.35">
      <c r="B84" s="16">
        <v>59000</v>
      </c>
      <c r="C84" s="16" t="s">
        <v>70</v>
      </c>
      <c r="D84" s="17"/>
      <c r="E84" s="17"/>
      <c r="F84" s="16" t="s">
        <v>14</v>
      </c>
      <c r="G84" s="17" t="str">
        <f t="shared" si="4"/>
        <v xml:space="preserve"> cinquante neuf mille</v>
      </c>
      <c r="H84" s="16">
        <v>83</v>
      </c>
      <c r="I84" s="16" t="s">
        <v>92</v>
      </c>
      <c r="J84" s="16" t="s">
        <v>20</v>
      </c>
      <c r="K84" s="17" t="str">
        <f t="shared" si="3"/>
        <v xml:space="preserve"> quatre vingt trois</v>
      </c>
      <c r="L84" s="16">
        <v>73000</v>
      </c>
      <c r="M84" s="16" t="s">
        <v>85</v>
      </c>
      <c r="N84" s="16" t="s">
        <v>14</v>
      </c>
      <c r="O84" s="17" t="str">
        <f t="shared" si="5"/>
        <v xml:space="preserve"> soixante treize mille</v>
      </c>
      <c r="P84" s="16">
        <v>73000000</v>
      </c>
      <c r="Q84" s="16" t="s">
        <v>85</v>
      </c>
      <c r="R84" s="16" t="s">
        <v>15</v>
      </c>
      <c r="S84" s="17" t="str">
        <f t="shared" si="6"/>
        <v xml:space="preserve"> soixante treize millions</v>
      </c>
      <c r="T84" s="17"/>
    </row>
    <row r="85" spans="2:20" x14ac:dyDescent="0.35">
      <c r="B85" s="16">
        <v>60000</v>
      </c>
      <c r="C85" s="16" t="s">
        <v>71</v>
      </c>
      <c r="D85" s="17"/>
      <c r="E85" s="17"/>
      <c r="F85" s="16" t="s">
        <v>14</v>
      </c>
      <c r="G85" s="17" t="str">
        <f t="shared" si="4"/>
        <v xml:space="preserve"> soixante mille</v>
      </c>
      <c r="H85" s="16">
        <v>84</v>
      </c>
      <c r="I85" s="16" t="s">
        <v>92</v>
      </c>
      <c r="J85" s="16" t="s">
        <v>24</v>
      </c>
      <c r="K85" s="17" t="str">
        <f t="shared" si="3"/>
        <v xml:space="preserve"> quatre vingt quatre</v>
      </c>
      <c r="L85" s="16">
        <v>74000</v>
      </c>
      <c r="M85" s="16" t="s">
        <v>86</v>
      </c>
      <c r="N85" s="16" t="s">
        <v>14</v>
      </c>
      <c r="O85" s="17" t="str">
        <f t="shared" si="5"/>
        <v xml:space="preserve"> soixante quatorze mille</v>
      </c>
      <c r="P85" s="16">
        <v>74000000</v>
      </c>
      <c r="Q85" s="16" t="s">
        <v>86</v>
      </c>
      <c r="R85" s="16" t="s">
        <v>15</v>
      </c>
      <c r="S85" s="17" t="str">
        <f t="shared" si="6"/>
        <v xml:space="preserve"> soixante quatorze millions</v>
      </c>
      <c r="T85" s="17"/>
    </row>
    <row r="86" spans="2:20" x14ac:dyDescent="0.35">
      <c r="B86" s="16">
        <v>61000</v>
      </c>
      <c r="C86" s="16" t="s">
        <v>72</v>
      </c>
      <c r="D86" s="17"/>
      <c r="E86" s="17"/>
      <c r="F86" s="16" t="s">
        <v>14</v>
      </c>
      <c r="G86" s="17" t="str">
        <f t="shared" si="4"/>
        <v xml:space="preserve"> soixante et un mille</v>
      </c>
      <c r="H86" s="16">
        <v>85</v>
      </c>
      <c r="I86" s="16" t="s">
        <v>92</v>
      </c>
      <c r="J86" s="16" t="s">
        <v>11</v>
      </c>
      <c r="K86" s="17" t="str">
        <f t="shared" si="3"/>
        <v xml:space="preserve"> quatre vingt cinq</v>
      </c>
      <c r="L86" s="16">
        <v>75000</v>
      </c>
      <c r="M86" s="16" t="s">
        <v>87</v>
      </c>
      <c r="N86" s="16" t="s">
        <v>14</v>
      </c>
      <c r="O86" s="17" t="str">
        <f t="shared" si="5"/>
        <v xml:space="preserve"> soixante quinze mille</v>
      </c>
      <c r="P86" s="16">
        <v>75000000</v>
      </c>
      <c r="Q86" s="16" t="s">
        <v>87</v>
      </c>
      <c r="R86" s="16" t="s">
        <v>15</v>
      </c>
      <c r="S86" s="17" t="str">
        <f t="shared" si="6"/>
        <v xml:space="preserve"> soixante quinze millions</v>
      </c>
      <c r="T86" s="17"/>
    </row>
    <row r="87" spans="2:20" x14ac:dyDescent="0.35">
      <c r="B87" s="16">
        <v>62000</v>
      </c>
      <c r="C87" s="16" t="s">
        <v>73</v>
      </c>
      <c r="D87" s="17"/>
      <c r="E87" s="17"/>
      <c r="F87" s="16" t="s">
        <v>14</v>
      </c>
      <c r="G87" s="17" t="str">
        <f t="shared" si="4"/>
        <v xml:space="preserve"> soixante deux mille</v>
      </c>
      <c r="H87" s="16">
        <v>86</v>
      </c>
      <c r="I87" s="16" t="s">
        <v>92</v>
      </c>
      <c r="J87" s="16" t="s">
        <v>17</v>
      </c>
      <c r="K87" s="17" t="str">
        <f t="shared" si="3"/>
        <v xml:space="preserve"> quatre vingt six </v>
      </c>
      <c r="L87" s="16">
        <v>76000</v>
      </c>
      <c r="M87" s="16" t="s">
        <v>88</v>
      </c>
      <c r="N87" s="16" t="s">
        <v>14</v>
      </c>
      <c r="O87" s="17" t="str">
        <f t="shared" si="5"/>
        <v xml:space="preserve"> soixante seize mille</v>
      </c>
      <c r="P87" s="16">
        <v>76000000</v>
      </c>
      <c r="Q87" s="16" t="s">
        <v>88</v>
      </c>
      <c r="R87" s="16" t="s">
        <v>15</v>
      </c>
      <c r="S87" s="17" t="str">
        <f t="shared" si="6"/>
        <v xml:space="preserve"> soixante seize millions</v>
      </c>
      <c r="T87" s="17"/>
    </row>
    <row r="88" spans="2:20" x14ac:dyDescent="0.35">
      <c r="B88" s="16">
        <v>63000</v>
      </c>
      <c r="C88" s="16" t="s">
        <v>74</v>
      </c>
      <c r="D88" s="17"/>
      <c r="E88" s="17"/>
      <c r="F88" s="16" t="s">
        <v>14</v>
      </c>
      <c r="G88" s="17" t="str">
        <f t="shared" si="4"/>
        <v xml:space="preserve"> soixante trois mille</v>
      </c>
      <c r="H88" s="16">
        <v>87</v>
      </c>
      <c r="I88" s="16" t="s">
        <v>92</v>
      </c>
      <c r="J88" s="16" t="s">
        <v>21</v>
      </c>
      <c r="K88" s="17" t="str">
        <f t="shared" ref="K88:K100" si="7">CONCATENATE(I88,J88)</f>
        <v xml:space="preserve"> quatre vingt sept</v>
      </c>
      <c r="L88" s="16">
        <v>77000</v>
      </c>
      <c r="M88" s="16" t="s">
        <v>89</v>
      </c>
      <c r="N88" s="16" t="s">
        <v>14</v>
      </c>
      <c r="O88" s="17" t="str">
        <f t="shared" si="5"/>
        <v xml:space="preserve"> soixante dix sept mille</v>
      </c>
      <c r="P88" s="16">
        <v>77000000</v>
      </c>
      <c r="Q88" s="16" t="s">
        <v>89</v>
      </c>
      <c r="R88" s="16" t="s">
        <v>15</v>
      </c>
      <c r="S88" s="17" t="str">
        <f t="shared" si="6"/>
        <v xml:space="preserve"> soixante dix sept millions</v>
      </c>
      <c r="T88" s="17"/>
    </row>
    <row r="89" spans="2:20" x14ac:dyDescent="0.35">
      <c r="B89" s="16">
        <v>64000</v>
      </c>
      <c r="C89" s="16" t="s">
        <v>75</v>
      </c>
      <c r="D89" s="17"/>
      <c r="E89" s="17"/>
      <c r="F89" s="16" t="s">
        <v>14</v>
      </c>
      <c r="G89" s="17" t="str">
        <f t="shared" si="4"/>
        <v xml:space="preserve"> soixante quatre mille</v>
      </c>
      <c r="H89" s="16">
        <v>88</v>
      </c>
      <c r="I89" s="16" t="s">
        <v>92</v>
      </c>
      <c r="J89" s="16" t="s">
        <v>25</v>
      </c>
      <c r="K89" s="17" t="str">
        <f t="shared" si="7"/>
        <v xml:space="preserve"> quatre vingt huit</v>
      </c>
      <c r="L89" s="16">
        <v>78000</v>
      </c>
      <c r="M89" s="16" t="s">
        <v>90</v>
      </c>
      <c r="N89" s="16" t="s">
        <v>14</v>
      </c>
      <c r="O89" s="17" t="str">
        <f t="shared" si="5"/>
        <v xml:space="preserve"> soixante dix huit mille</v>
      </c>
      <c r="P89" s="16">
        <v>78000000</v>
      </c>
      <c r="Q89" s="16" t="s">
        <v>90</v>
      </c>
      <c r="R89" s="16" t="s">
        <v>15</v>
      </c>
      <c r="S89" s="17" t="str">
        <f t="shared" si="6"/>
        <v xml:space="preserve"> soixante dix huit millions</v>
      </c>
      <c r="T89" s="17"/>
    </row>
    <row r="90" spans="2:20" x14ac:dyDescent="0.35">
      <c r="B90" s="16">
        <v>65000</v>
      </c>
      <c r="C90" s="16" t="s">
        <v>76</v>
      </c>
      <c r="D90" s="17"/>
      <c r="E90" s="17"/>
      <c r="F90" s="16" t="s">
        <v>14</v>
      </c>
      <c r="G90" s="17" t="str">
        <f t="shared" si="4"/>
        <v xml:space="preserve"> soixante cinq mille</v>
      </c>
      <c r="H90" s="16">
        <v>89</v>
      </c>
      <c r="I90" s="16" t="s">
        <v>92</v>
      </c>
      <c r="J90" s="16" t="s">
        <v>28</v>
      </c>
      <c r="K90" s="17" t="str">
        <f t="shared" si="7"/>
        <v xml:space="preserve"> quatre vingt neuf</v>
      </c>
      <c r="L90" s="16">
        <v>79000</v>
      </c>
      <c r="M90" s="16" t="s">
        <v>91</v>
      </c>
      <c r="N90" s="16" t="s">
        <v>14</v>
      </c>
      <c r="O90" s="17" t="str">
        <f t="shared" si="5"/>
        <v xml:space="preserve"> soixante dix neuf mille</v>
      </c>
      <c r="P90" s="16">
        <v>79000000</v>
      </c>
      <c r="Q90" s="16" t="s">
        <v>91</v>
      </c>
      <c r="R90" s="16" t="s">
        <v>15</v>
      </c>
      <c r="S90" s="17" t="str">
        <f t="shared" si="6"/>
        <v xml:space="preserve"> soixante dix neuf millions</v>
      </c>
      <c r="T90" s="17"/>
    </row>
    <row r="91" spans="2:20" x14ac:dyDescent="0.35">
      <c r="B91" s="16">
        <v>66000</v>
      </c>
      <c r="C91" s="16" t="s">
        <v>77</v>
      </c>
      <c r="D91" s="17"/>
      <c r="E91" s="17"/>
      <c r="F91" s="16" t="s">
        <v>14</v>
      </c>
      <c r="G91" s="17" t="str">
        <f t="shared" si="4"/>
        <v xml:space="preserve"> soixante six  mille</v>
      </c>
      <c r="H91" s="16">
        <v>90</v>
      </c>
      <c r="I91" s="16" t="s">
        <v>92</v>
      </c>
      <c r="J91" s="16" t="s">
        <v>39</v>
      </c>
      <c r="K91" s="17" t="str">
        <f t="shared" si="7"/>
        <v xml:space="preserve"> quatre vingt dix</v>
      </c>
      <c r="L91" s="16">
        <v>80000</v>
      </c>
      <c r="M91" s="16" t="s">
        <v>92</v>
      </c>
      <c r="N91" s="16" t="s">
        <v>14</v>
      </c>
      <c r="O91" s="17" t="str">
        <f t="shared" si="5"/>
        <v xml:space="preserve"> quatre vingt mille</v>
      </c>
      <c r="P91" s="16">
        <v>80000000</v>
      </c>
      <c r="Q91" s="16" t="s">
        <v>92</v>
      </c>
      <c r="R91" s="16" t="s">
        <v>15</v>
      </c>
      <c r="S91" s="17" t="str">
        <f t="shared" si="6"/>
        <v xml:space="preserve"> quatre vingt millions</v>
      </c>
      <c r="T91" s="17"/>
    </row>
    <row r="92" spans="2:20" x14ac:dyDescent="0.35">
      <c r="B92" s="16">
        <v>67000</v>
      </c>
      <c r="C92" s="16" t="s">
        <v>78</v>
      </c>
      <c r="D92" s="17"/>
      <c r="E92" s="17"/>
      <c r="F92" s="16" t="s">
        <v>14</v>
      </c>
      <c r="G92" s="17" t="str">
        <f t="shared" si="4"/>
        <v xml:space="preserve"> soixante sept mille</v>
      </c>
      <c r="H92" s="16">
        <v>91</v>
      </c>
      <c r="I92" s="16" t="s">
        <v>92</v>
      </c>
      <c r="J92" s="16" t="s">
        <v>82</v>
      </c>
      <c r="K92" s="17" t="str">
        <f t="shared" si="7"/>
        <v xml:space="preserve"> quatre vingt et onze</v>
      </c>
      <c r="L92" s="16">
        <v>81000</v>
      </c>
      <c r="M92" s="16" t="s">
        <v>93</v>
      </c>
      <c r="N92" s="16" t="s">
        <v>14</v>
      </c>
      <c r="O92" s="17" t="str">
        <f t="shared" si="5"/>
        <v xml:space="preserve"> quatre vingt et un mille</v>
      </c>
      <c r="P92" s="16">
        <v>81000000</v>
      </c>
      <c r="Q92" s="16" t="s">
        <v>93</v>
      </c>
      <c r="R92" s="16" t="s">
        <v>15</v>
      </c>
      <c r="S92" s="17" t="str">
        <f t="shared" si="6"/>
        <v xml:space="preserve"> quatre vingt et un millions</v>
      </c>
      <c r="T92" s="17"/>
    </row>
    <row r="93" spans="2:20" x14ac:dyDescent="0.35">
      <c r="B93" s="16">
        <v>68000</v>
      </c>
      <c r="C93" s="16" t="s">
        <v>79</v>
      </c>
      <c r="D93" s="17"/>
      <c r="E93" s="17"/>
      <c r="F93" s="16" t="s">
        <v>14</v>
      </c>
      <c r="G93" s="17" t="str">
        <f t="shared" ref="G93:G124" si="8">CONCATENATE(C93,F93)</f>
        <v xml:space="preserve"> soixante huit mille</v>
      </c>
      <c r="H93" s="16">
        <v>92</v>
      </c>
      <c r="I93" s="16" t="s">
        <v>92</v>
      </c>
      <c r="J93" s="16" t="s">
        <v>44</v>
      </c>
      <c r="K93" s="17" t="str">
        <f t="shared" si="7"/>
        <v xml:space="preserve"> quatre vingt douze</v>
      </c>
      <c r="L93" s="16">
        <v>82000</v>
      </c>
      <c r="M93" s="16" t="s">
        <v>94</v>
      </c>
      <c r="N93" s="16" t="s">
        <v>14</v>
      </c>
      <c r="O93" s="17" t="str">
        <f t="shared" si="5"/>
        <v xml:space="preserve"> quatre vingt deux mille</v>
      </c>
      <c r="P93" s="16">
        <v>82000000</v>
      </c>
      <c r="Q93" s="16" t="s">
        <v>94</v>
      </c>
      <c r="R93" s="16" t="s">
        <v>15</v>
      </c>
      <c r="S93" s="17" t="str">
        <f t="shared" si="6"/>
        <v xml:space="preserve"> quatre vingt deux millions</v>
      </c>
      <c r="T93" s="17"/>
    </row>
    <row r="94" spans="2:20" x14ac:dyDescent="0.35">
      <c r="B94" s="16">
        <v>69000</v>
      </c>
      <c r="C94" s="16" t="s">
        <v>80</v>
      </c>
      <c r="D94" s="17"/>
      <c r="E94" s="17"/>
      <c r="F94" s="16" t="s">
        <v>14</v>
      </c>
      <c r="G94" s="17" t="str">
        <f t="shared" si="8"/>
        <v xml:space="preserve"> soixante neuf mille</v>
      </c>
      <c r="H94" s="16">
        <v>93</v>
      </c>
      <c r="I94" s="16" t="s">
        <v>92</v>
      </c>
      <c r="J94" s="16" t="s">
        <v>46</v>
      </c>
      <c r="K94" s="17" t="str">
        <f t="shared" si="7"/>
        <v xml:space="preserve"> quatre vingt treize</v>
      </c>
      <c r="L94" s="16">
        <v>83000</v>
      </c>
      <c r="M94" s="16" t="s">
        <v>95</v>
      </c>
      <c r="N94" s="16" t="s">
        <v>14</v>
      </c>
      <c r="O94" s="17" t="str">
        <f t="shared" si="5"/>
        <v xml:space="preserve"> quatre vingt trois mille</v>
      </c>
      <c r="P94" s="16">
        <v>83000000</v>
      </c>
      <c r="Q94" s="16" t="s">
        <v>95</v>
      </c>
      <c r="R94" s="16" t="s">
        <v>15</v>
      </c>
      <c r="S94" s="17" t="str">
        <f t="shared" si="6"/>
        <v xml:space="preserve"> quatre vingt trois millions</v>
      </c>
      <c r="T94" s="17"/>
    </row>
    <row r="95" spans="2:20" x14ac:dyDescent="0.35">
      <c r="B95" s="16">
        <v>70000</v>
      </c>
      <c r="C95" s="16" t="s">
        <v>81</v>
      </c>
      <c r="D95" s="17"/>
      <c r="E95" s="17"/>
      <c r="F95" s="16" t="s">
        <v>14</v>
      </c>
      <c r="G95" s="17" t="str">
        <f t="shared" si="8"/>
        <v xml:space="preserve"> soixante dix mille</v>
      </c>
      <c r="H95" s="16">
        <v>94</v>
      </c>
      <c r="I95" s="16" t="s">
        <v>92</v>
      </c>
      <c r="J95" s="16" t="s">
        <v>48</v>
      </c>
      <c r="K95" s="17" t="str">
        <f t="shared" si="7"/>
        <v xml:space="preserve"> quatre vingt quatorze</v>
      </c>
      <c r="L95" s="16">
        <v>84000</v>
      </c>
      <c r="M95" s="16" t="s">
        <v>96</v>
      </c>
      <c r="N95" s="16" t="s">
        <v>14</v>
      </c>
      <c r="O95" s="17" t="str">
        <f t="shared" si="5"/>
        <v xml:space="preserve"> quatre vingt quatre mille</v>
      </c>
      <c r="P95" s="16">
        <v>84000000</v>
      </c>
      <c r="Q95" s="16" t="s">
        <v>96</v>
      </c>
      <c r="R95" s="16" t="s">
        <v>15</v>
      </c>
      <c r="S95" s="17" t="str">
        <f t="shared" si="6"/>
        <v xml:space="preserve"> quatre vingt quatre millions</v>
      </c>
      <c r="T95" s="17"/>
    </row>
    <row r="96" spans="2:20" x14ac:dyDescent="0.35">
      <c r="B96" s="16">
        <v>71000</v>
      </c>
      <c r="C96" s="16" t="s">
        <v>83</v>
      </c>
      <c r="D96" s="17"/>
      <c r="E96" s="17"/>
      <c r="F96" s="16" t="s">
        <v>14</v>
      </c>
      <c r="G96" s="17" t="str">
        <f t="shared" si="8"/>
        <v xml:space="preserve"> soixante et onze mille</v>
      </c>
      <c r="H96" s="16">
        <v>95</v>
      </c>
      <c r="I96" s="16" t="s">
        <v>92</v>
      </c>
      <c r="J96" s="16" t="s">
        <v>13</v>
      </c>
      <c r="K96" s="17" t="str">
        <f t="shared" si="7"/>
        <v xml:space="preserve"> quatre vingt quinze</v>
      </c>
      <c r="L96" s="16">
        <v>85000</v>
      </c>
      <c r="M96" s="16" t="s">
        <v>97</v>
      </c>
      <c r="N96" s="16" t="s">
        <v>14</v>
      </c>
      <c r="O96" s="17" t="str">
        <f t="shared" si="5"/>
        <v xml:space="preserve"> quatre vingt cinq mille</v>
      </c>
      <c r="P96" s="16">
        <v>85000000</v>
      </c>
      <c r="Q96" s="16" t="s">
        <v>97</v>
      </c>
      <c r="R96" s="16" t="s">
        <v>15</v>
      </c>
      <c r="S96" s="17" t="str">
        <f t="shared" si="6"/>
        <v xml:space="preserve"> quatre vingt cinq millions</v>
      </c>
      <c r="T96" s="17"/>
    </row>
    <row r="97" spans="2:20" x14ac:dyDescent="0.35">
      <c r="B97" s="16">
        <v>72000</v>
      </c>
      <c r="C97" s="16" t="s">
        <v>84</v>
      </c>
      <c r="D97" s="17"/>
      <c r="E97" s="17"/>
      <c r="F97" s="16" t="s">
        <v>14</v>
      </c>
      <c r="G97" s="17" t="str">
        <f t="shared" si="8"/>
        <v xml:space="preserve"> soixante douze mille</v>
      </c>
      <c r="H97" s="16">
        <v>96</v>
      </c>
      <c r="I97" s="16" t="s">
        <v>92</v>
      </c>
      <c r="J97" s="16" t="s">
        <v>19</v>
      </c>
      <c r="K97" s="17" t="str">
        <f t="shared" si="7"/>
        <v xml:space="preserve"> quatre vingt seize</v>
      </c>
      <c r="L97" s="16">
        <v>86000</v>
      </c>
      <c r="M97" s="16" t="s">
        <v>98</v>
      </c>
      <c r="N97" s="16" t="s">
        <v>14</v>
      </c>
      <c r="O97" s="17" t="str">
        <f t="shared" si="5"/>
        <v xml:space="preserve"> quatre vingt six  mille</v>
      </c>
      <c r="P97" s="16">
        <v>86000000</v>
      </c>
      <c r="Q97" s="16" t="s">
        <v>98</v>
      </c>
      <c r="R97" s="16" t="s">
        <v>15</v>
      </c>
      <c r="S97" s="17" t="str">
        <f t="shared" si="6"/>
        <v xml:space="preserve"> quatre vingt six  millions</v>
      </c>
      <c r="T97" s="17"/>
    </row>
    <row r="98" spans="2:20" x14ac:dyDescent="0.35">
      <c r="B98" s="16">
        <v>73000</v>
      </c>
      <c r="C98" s="16" t="s">
        <v>85</v>
      </c>
      <c r="D98" s="17"/>
      <c r="E98" s="17"/>
      <c r="F98" s="16" t="s">
        <v>14</v>
      </c>
      <c r="G98" s="17" t="str">
        <f t="shared" si="8"/>
        <v xml:space="preserve"> soixante treize mille</v>
      </c>
      <c r="H98" s="16">
        <v>97</v>
      </c>
      <c r="I98" s="16" t="s">
        <v>92</v>
      </c>
      <c r="J98" s="16" t="s">
        <v>23</v>
      </c>
      <c r="K98" s="17" t="str">
        <f t="shared" si="7"/>
        <v xml:space="preserve"> quatre vingt dix sept</v>
      </c>
      <c r="L98" s="16">
        <v>87000</v>
      </c>
      <c r="M98" s="16" t="s">
        <v>99</v>
      </c>
      <c r="N98" s="16" t="s">
        <v>14</v>
      </c>
      <c r="O98" s="17" t="str">
        <f t="shared" si="5"/>
        <v xml:space="preserve"> quatre vingt sept mille</v>
      </c>
      <c r="P98" s="16">
        <v>87000000</v>
      </c>
      <c r="Q98" s="16" t="s">
        <v>99</v>
      </c>
      <c r="R98" s="16" t="s">
        <v>15</v>
      </c>
      <c r="S98" s="17" t="str">
        <f t="shared" si="6"/>
        <v xml:space="preserve"> quatre vingt sept millions</v>
      </c>
      <c r="T98" s="17"/>
    </row>
    <row r="99" spans="2:20" x14ac:dyDescent="0.35">
      <c r="B99" s="16">
        <v>74000</v>
      </c>
      <c r="C99" s="16" t="s">
        <v>86</v>
      </c>
      <c r="D99" s="17"/>
      <c r="E99" s="17"/>
      <c r="F99" s="16" t="s">
        <v>14</v>
      </c>
      <c r="G99" s="17" t="str">
        <f t="shared" si="8"/>
        <v xml:space="preserve"> soixante quatorze mille</v>
      </c>
      <c r="H99" s="16">
        <v>98</v>
      </c>
      <c r="I99" s="16" t="s">
        <v>92</v>
      </c>
      <c r="J99" s="16" t="s">
        <v>27</v>
      </c>
      <c r="K99" s="17" t="str">
        <f t="shared" si="7"/>
        <v xml:space="preserve"> quatre vingt dix huit</v>
      </c>
      <c r="L99" s="16">
        <v>88000</v>
      </c>
      <c r="M99" s="16" t="s">
        <v>100</v>
      </c>
      <c r="N99" s="16" t="s">
        <v>14</v>
      </c>
      <c r="O99" s="17" t="str">
        <f t="shared" si="5"/>
        <v xml:space="preserve"> quatre vingt huit mille</v>
      </c>
      <c r="P99" s="16">
        <v>88000000</v>
      </c>
      <c r="Q99" s="16" t="s">
        <v>100</v>
      </c>
      <c r="R99" s="16" t="s">
        <v>15</v>
      </c>
      <c r="S99" s="17" t="str">
        <f t="shared" si="6"/>
        <v xml:space="preserve"> quatre vingt huit millions</v>
      </c>
      <c r="T99" s="17"/>
    </row>
    <row r="100" spans="2:20" x14ac:dyDescent="0.35">
      <c r="B100" s="16">
        <v>75000</v>
      </c>
      <c r="C100" s="16" t="s">
        <v>87</v>
      </c>
      <c r="D100" s="17"/>
      <c r="E100" s="17"/>
      <c r="F100" s="16" t="s">
        <v>14</v>
      </c>
      <c r="G100" s="17" t="str">
        <f t="shared" si="8"/>
        <v xml:space="preserve"> soixante quinze mille</v>
      </c>
      <c r="H100" s="16">
        <v>99</v>
      </c>
      <c r="I100" s="16" t="s">
        <v>92</v>
      </c>
      <c r="J100" s="16" t="s">
        <v>30</v>
      </c>
      <c r="K100" s="17" t="str">
        <f t="shared" si="7"/>
        <v xml:space="preserve"> quatre vingt dix neuf</v>
      </c>
      <c r="L100" s="16">
        <v>89000</v>
      </c>
      <c r="M100" s="16" t="s">
        <v>101</v>
      </c>
      <c r="N100" s="16" t="s">
        <v>14</v>
      </c>
      <c r="O100" s="17" t="str">
        <f t="shared" si="5"/>
        <v xml:space="preserve"> quatre vingt neuf mille</v>
      </c>
      <c r="P100" s="16">
        <v>89000000</v>
      </c>
      <c r="Q100" s="16" t="s">
        <v>101</v>
      </c>
      <c r="R100" s="16" t="s">
        <v>15</v>
      </c>
      <c r="S100" s="17" t="str">
        <f t="shared" si="6"/>
        <v xml:space="preserve"> quatre vingt neuf millions</v>
      </c>
      <c r="T100" s="17"/>
    </row>
    <row r="101" spans="2:20" x14ac:dyDescent="0.35">
      <c r="B101" s="16">
        <v>76000</v>
      </c>
      <c r="C101" s="16" t="s">
        <v>88</v>
      </c>
      <c r="D101" s="17"/>
      <c r="E101" s="17"/>
      <c r="F101" s="16" t="s">
        <v>14</v>
      </c>
      <c r="G101" s="17" t="str">
        <f t="shared" si="8"/>
        <v xml:space="preserve"> soixante seize mille</v>
      </c>
      <c r="H101" s="17"/>
      <c r="I101" s="17"/>
      <c r="J101" s="17"/>
      <c r="K101" s="17"/>
      <c r="L101" s="16">
        <v>90000</v>
      </c>
      <c r="M101" s="16" t="s">
        <v>102</v>
      </c>
      <c r="N101" s="16" t="s">
        <v>14</v>
      </c>
      <c r="O101" s="17" t="str">
        <f t="shared" si="5"/>
        <v xml:space="preserve"> quatre vingt dix mille</v>
      </c>
      <c r="P101" s="16">
        <v>90000000</v>
      </c>
      <c r="Q101" s="16" t="s">
        <v>102</v>
      </c>
      <c r="R101" s="16" t="s">
        <v>15</v>
      </c>
      <c r="S101" s="17" t="str">
        <f t="shared" si="6"/>
        <v xml:space="preserve"> quatre vingt dix millions</v>
      </c>
      <c r="T101" s="17"/>
    </row>
    <row r="102" spans="2:20" x14ac:dyDescent="0.35">
      <c r="B102" s="16">
        <v>77000</v>
      </c>
      <c r="C102" s="16" t="s">
        <v>89</v>
      </c>
      <c r="D102" s="17"/>
      <c r="E102" s="17"/>
      <c r="F102" s="16" t="s">
        <v>14</v>
      </c>
      <c r="G102" s="17" t="str">
        <f t="shared" si="8"/>
        <v xml:space="preserve"> soixante dix sept mille</v>
      </c>
      <c r="H102" s="17"/>
      <c r="I102" s="17"/>
      <c r="J102" s="17"/>
      <c r="K102" s="17"/>
      <c r="L102" s="16">
        <v>91000</v>
      </c>
      <c r="M102" s="16" t="s">
        <v>103</v>
      </c>
      <c r="N102" s="16" t="s">
        <v>14</v>
      </c>
      <c r="O102" s="17" t="str">
        <f t="shared" si="5"/>
        <v xml:space="preserve"> quatre vingt et onze mille</v>
      </c>
      <c r="P102" s="16">
        <v>91000000</v>
      </c>
      <c r="Q102" s="16" t="s">
        <v>103</v>
      </c>
      <c r="R102" s="16" t="s">
        <v>15</v>
      </c>
      <c r="S102" s="17" t="str">
        <f t="shared" si="6"/>
        <v xml:space="preserve"> quatre vingt et onze millions</v>
      </c>
      <c r="T102" s="17"/>
    </row>
    <row r="103" spans="2:20" x14ac:dyDescent="0.35">
      <c r="B103" s="16">
        <v>78000</v>
      </c>
      <c r="C103" s="16" t="s">
        <v>90</v>
      </c>
      <c r="D103" s="17"/>
      <c r="E103" s="17"/>
      <c r="F103" s="16" t="s">
        <v>14</v>
      </c>
      <c r="G103" s="17" t="str">
        <f t="shared" si="8"/>
        <v xml:space="preserve"> soixante dix huit mille</v>
      </c>
      <c r="H103" s="17"/>
      <c r="I103" s="17"/>
      <c r="J103" s="17"/>
      <c r="K103" s="17"/>
      <c r="L103" s="16">
        <v>92000</v>
      </c>
      <c r="M103" s="16" t="s">
        <v>104</v>
      </c>
      <c r="N103" s="16" t="s">
        <v>14</v>
      </c>
      <c r="O103" s="17" t="str">
        <f t="shared" si="5"/>
        <v xml:space="preserve"> quatre vingt douze mille</v>
      </c>
      <c r="P103" s="16">
        <v>92000000</v>
      </c>
      <c r="Q103" s="16" t="s">
        <v>104</v>
      </c>
      <c r="R103" s="16" t="s">
        <v>15</v>
      </c>
      <c r="S103" s="17" t="str">
        <f t="shared" si="6"/>
        <v xml:space="preserve"> quatre vingt douze millions</v>
      </c>
      <c r="T103" s="17"/>
    </row>
    <row r="104" spans="2:20" x14ac:dyDescent="0.35">
      <c r="B104" s="16">
        <v>79000</v>
      </c>
      <c r="C104" s="16" t="s">
        <v>91</v>
      </c>
      <c r="D104" s="17"/>
      <c r="E104" s="17"/>
      <c r="F104" s="16" t="s">
        <v>14</v>
      </c>
      <c r="G104" s="17" t="str">
        <f t="shared" si="8"/>
        <v xml:space="preserve"> soixante dix neuf mille</v>
      </c>
      <c r="H104" s="17"/>
      <c r="I104" s="17"/>
      <c r="J104" s="17"/>
      <c r="K104" s="17"/>
      <c r="L104" s="16">
        <v>93000</v>
      </c>
      <c r="M104" s="16" t="s">
        <v>105</v>
      </c>
      <c r="N104" s="16" t="s">
        <v>14</v>
      </c>
      <c r="O104" s="17" t="str">
        <f t="shared" si="5"/>
        <v xml:space="preserve"> quatre vingt treize mille</v>
      </c>
      <c r="P104" s="16">
        <v>93000000</v>
      </c>
      <c r="Q104" s="16" t="s">
        <v>105</v>
      </c>
      <c r="R104" s="16" t="s">
        <v>15</v>
      </c>
      <c r="S104" s="17" t="str">
        <f t="shared" si="6"/>
        <v xml:space="preserve"> quatre vingt treize millions</v>
      </c>
      <c r="T104" s="17"/>
    </row>
    <row r="105" spans="2:20" x14ac:dyDescent="0.35">
      <c r="B105" s="16">
        <v>80000</v>
      </c>
      <c r="C105" s="16" t="s">
        <v>92</v>
      </c>
      <c r="D105" s="17"/>
      <c r="E105" s="17"/>
      <c r="F105" s="16" t="s">
        <v>14</v>
      </c>
      <c r="G105" s="17" t="str">
        <f t="shared" si="8"/>
        <v xml:space="preserve"> quatre vingt mille</v>
      </c>
      <c r="H105" s="17"/>
      <c r="I105" s="17"/>
      <c r="J105" s="17"/>
      <c r="K105" s="17"/>
      <c r="L105" s="16">
        <v>94000</v>
      </c>
      <c r="M105" s="16" t="s">
        <v>106</v>
      </c>
      <c r="N105" s="16" t="s">
        <v>14</v>
      </c>
      <c r="O105" s="17" t="str">
        <f t="shared" si="5"/>
        <v xml:space="preserve"> quatre vingt quatorze mille</v>
      </c>
      <c r="P105" s="16">
        <v>94000000</v>
      </c>
      <c r="Q105" s="16" t="s">
        <v>106</v>
      </c>
      <c r="R105" s="16" t="s">
        <v>15</v>
      </c>
      <c r="S105" s="17" t="str">
        <f t="shared" si="6"/>
        <v xml:space="preserve"> quatre vingt quatorze millions</v>
      </c>
      <c r="T105" s="17"/>
    </row>
    <row r="106" spans="2:20" x14ac:dyDescent="0.35">
      <c r="B106" s="16">
        <v>81000</v>
      </c>
      <c r="C106" s="16" t="s">
        <v>93</v>
      </c>
      <c r="D106" s="17"/>
      <c r="E106" s="17"/>
      <c r="F106" s="16" t="s">
        <v>14</v>
      </c>
      <c r="G106" s="17" t="str">
        <f t="shared" si="8"/>
        <v xml:space="preserve"> quatre vingt et un mille</v>
      </c>
      <c r="H106" s="17"/>
      <c r="I106" s="17"/>
      <c r="J106" s="17"/>
      <c r="K106" s="17"/>
      <c r="L106" s="16">
        <v>95000</v>
      </c>
      <c r="M106" s="16" t="s">
        <v>107</v>
      </c>
      <c r="N106" s="16" t="s">
        <v>14</v>
      </c>
      <c r="O106" s="17" t="str">
        <f t="shared" si="5"/>
        <v xml:space="preserve"> quatre vingt quinze mille</v>
      </c>
      <c r="P106" s="16">
        <v>95000000</v>
      </c>
      <c r="Q106" s="16" t="s">
        <v>107</v>
      </c>
      <c r="R106" s="16" t="s">
        <v>15</v>
      </c>
      <c r="S106" s="17" t="str">
        <f t="shared" si="6"/>
        <v xml:space="preserve"> quatre vingt quinze millions</v>
      </c>
      <c r="T106" s="17"/>
    </row>
    <row r="107" spans="2:20" x14ac:dyDescent="0.35">
      <c r="B107" s="16">
        <v>82000</v>
      </c>
      <c r="C107" s="16" t="s">
        <v>94</v>
      </c>
      <c r="D107" s="17"/>
      <c r="E107" s="17"/>
      <c r="F107" s="16" t="s">
        <v>14</v>
      </c>
      <c r="G107" s="17" t="str">
        <f t="shared" si="8"/>
        <v xml:space="preserve"> quatre vingt deux mille</v>
      </c>
      <c r="H107" s="17"/>
      <c r="I107" s="17"/>
      <c r="J107" s="17"/>
      <c r="K107" s="17"/>
      <c r="L107" s="16">
        <v>96000</v>
      </c>
      <c r="M107" s="16" t="s">
        <v>108</v>
      </c>
      <c r="N107" s="16" t="s">
        <v>14</v>
      </c>
      <c r="O107" s="17" t="str">
        <f t="shared" si="5"/>
        <v xml:space="preserve"> quatre vingt seize mille</v>
      </c>
      <c r="P107" s="16">
        <v>96000000</v>
      </c>
      <c r="Q107" s="16" t="s">
        <v>108</v>
      </c>
      <c r="R107" s="16" t="s">
        <v>15</v>
      </c>
      <c r="S107" s="17" t="str">
        <f t="shared" si="6"/>
        <v xml:space="preserve"> quatre vingt seize millions</v>
      </c>
      <c r="T107" s="17"/>
    </row>
    <row r="108" spans="2:20" x14ac:dyDescent="0.35">
      <c r="B108" s="16">
        <v>83000</v>
      </c>
      <c r="C108" s="16" t="s">
        <v>95</v>
      </c>
      <c r="D108" s="17"/>
      <c r="E108" s="17"/>
      <c r="F108" s="16" t="s">
        <v>14</v>
      </c>
      <c r="G108" s="17" t="str">
        <f t="shared" si="8"/>
        <v xml:space="preserve"> quatre vingt trois mille</v>
      </c>
      <c r="H108" s="17"/>
      <c r="I108" s="17"/>
      <c r="J108" s="17"/>
      <c r="K108" s="17"/>
      <c r="L108" s="16">
        <v>97000</v>
      </c>
      <c r="M108" s="16" t="s">
        <v>109</v>
      </c>
      <c r="N108" s="16" t="s">
        <v>14</v>
      </c>
      <c r="O108" s="17" t="str">
        <f t="shared" si="5"/>
        <v xml:space="preserve"> quatre vingt dix sept mille</v>
      </c>
      <c r="P108" s="16">
        <v>97000000</v>
      </c>
      <c r="Q108" s="16" t="s">
        <v>109</v>
      </c>
      <c r="R108" s="16" t="s">
        <v>15</v>
      </c>
      <c r="S108" s="17" t="str">
        <f t="shared" si="6"/>
        <v xml:space="preserve"> quatre vingt dix sept millions</v>
      </c>
      <c r="T108" s="17"/>
    </row>
    <row r="109" spans="2:20" x14ac:dyDescent="0.35">
      <c r="B109" s="16">
        <v>84000</v>
      </c>
      <c r="C109" s="16" t="s">
        <v>96</v>
      </c>
      <c r="D109" s="17"/>
      <c r="E109" s="17"/>
      <c r="F109" s="16" t="s">
        <v>14</v>
      </c>
      <c r="G109" s="17" t="str">
        <f t="shared" si="8"/>
        <v xml:space="preserve"> quatre vingt quatre mille</v>
      </c>
      <c r="H109" s="17"/>
      <c r="I109" s="17"/>
      <c r="J109" s="17"/>
      <c r="K109" s="17"/>
      <c r="L109" s="16">
        <v>98000</v>
      </c>
      <c r="M109" s="16" t="s">
        <v>110</v>
      </c>
      <c r="N109" s="16" t="s">
        <v>14</v>
      </c>
      <c r="O109" s="17" t="str">
        <f t="shared" si="5"/>
        <v xml:space="preserve"> quatre vingt dix huit mille</v>
      </c>
      <c r="P109" s="16">
        <v>98000000</v>
      </c>
      <c r="Q109" s="16" t="s">
        <v>110</v>
      </c>
      <c r="R109" s="16" t="s">
        <v>15</v>
      </c>
      <c r="S109" s="17" t="str">
        <f t="shared" si="6"/>
        <v xml:space="preserve"> quatre vingt dix huit millions</v>
      </c>
      <c r="T109" s="17"/>
    </row>
    <row r="110" spans="2:20" x14ac:dyDescent="0.35">
      <c r="B110" s="16">
        <v>85000</v>
      </c>
      <c r="C110" s="16" t="s">
        <v>97</v>
      </c>
      <c r="D110" s="17"/>
      <c r="E110" s="17"/>
      <c r="F110" s="16" t="s">
        <v>14</v>
      </c>
      <c r="G110" s="17" t="str">
        <f t="shared" si="8"/>
        <v xml:space="preserve"> quatre vingt cinq mille</v>
      </c>
      <c r="H110" s="17"/>
      <c r="I110" s="17"/>
      <c r="J110" s="17"/>
      <c r="K110" s="17"/>
      <c r="L110" s="16">
        <v>99000</v>
      </c>
      <c r="M110" s="16" t="s">
        <v>111</v>
      </c>
      <c r="N110" s="16" t="s">
        <v>14</v>
      </c>
      <c r="O110" s="17" t="str">
        <f t="shared" si="5"/>
        <v xml:space="preserve"> quatre vingt dix neuf mille</v>
      </c>
      <c r="P110" s="16">
        <v>99000000</v>
      </c>
      <c r="Q110" s="16" t="s">
        <v>111</v>
      </c>
      <c r="R110" s="16" t="s">
        <v>15</v>
      </c>
      <c r="S110" s="17" t="str">
        <f>CONCATENATE(Q110,R110)</f>
        <v xml:space="preserve"> quatre vingt dix neuf millions</v>
      </c>
      <c r="T110" s="17"/>
    </row>
    <row r="111" spans="2:20" x14ac:dyDescent="0.35">
      <c r="B111" s="16">
        <v>86000</v>
      </c>
      <c r="C111" s="16" t="s">
        <v>98</v>
      </c>
      <c r="D111" s="17"/>
      <c r="E111" s="17"/>
      <c r="F111" s="16" t="s">
        <v>14</v>
      </c>
      <c r="G111" s="17" t="str">
        <f t="shared" si="8"/>
        <v xml:space="preserve"> quatre vingt six  mille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2:20" x14ac:dyDescent="0.35">
      <c r="B112" s="16">
        <v>87000</v>
      </c>
      <c r="C112" s="16" t="s">
        <v>99</v>
      </c>
      <c r="D112" s="17"/>
      <c r="E112" s="17"/>
      <c r="F112" s="16" t="s">
        <v>14</v>
      </c>
      <c r="G112" s="17" t="str">
        <f t="shared" si="8"/>
        <v xml:space="preserve"> quatre vingt sept mille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2:20" x14ac:dyDescent="0.35">
      <c r="B113" s="16">
        <v>88000</v>
      </c>
      <c r="C113" s="16" t="s">
        <v>100</v>
      </c>
      <c r="D113" s="17"/>
      <c r="E113" s="17"/>
      <c r="F113" s="16" t="s">
        <v>14</v>
      </c>
      <c r="G113" s="17" t="str">
        <f t="shared" si="8"/>
        <v xml:space="preserve"> quatre vingt huit mille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2:20" x14ac:dyDescent="0.35">
      <c r="B114" s="16">
        <v>89000</v>
      </c>
      <c r="C114" s="16" t="s">
        <v>101</v>
      </c>
      <c r="D114" s="17"/>
      <c r="E114" s="17"/>
      <c r="F114" s="16" t="s">
        <v>14</v>
      </c>
      <c r="G114" s="17" t="str">
        <f t="shared" si="8"/>
        <v xml:space="preserve"> quatre vingt neuf mille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2:20" x14ac:dyDescent="0.35">
      <c r="B115" s="16">
        <v>90000</v>
      </c>
      <c r="C115" s="16" t="s">
        <v>102</v>
      </c>
      <c r="D115" s="17"/>
      <c r="E115" s="17"/>
      <c r="F115" s="16" t="s">
        <v>14</v>
      </c>
      <c r="G115" s="17" t="str">
        <f t="shared" si="8"/>
        <v xml:space="preserve"> quatre vingt dix mille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2:20" x14ac:dyDescent="0.35">
      <c r="B116" s="16">
        <v>91000</v>
      </c>
      <c r="C116" s="16" t="s">
        <v>103</v>
      </c>
      <c r="D116" s="17"/>
      <c r="E116" s="17"/>
      <c r="F116" s="16" t="s">
        <v>14</v>
      </c>
      <c r="G116" s="17" t="str">
        <f t="shared" si="8"/>
        <v xml:space="preserve"> quatre vingt et onze mille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2:20" x14ac:dyDescent="0.35">
      <c r="B117" s="16">
        <v>92000</v>
      </c>
      <c r="C117" s="16" t="s">
        <v>104</v>
      </c>
      <c r="D117" s="17"/>
      <c r="E117" s="17"/>
      <c r="F117" s="16" t="s">
        <v>14</v>
      </c>
      <c r="G117" s="17" t="str">
        <f t="shared" si="8"/>
        <v xml:space="preserve"> quatre vingt douze mille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2:20" x14ac:dyDescent="0.35">
      <c r="B118" s="16">
        <v>93000</v>
      </c>
      <c r="C118" s="16" t="s">
        <v>105</v>
      </c>
      <c r="D118" s="17"/>
      <c r="E118" s="17"/>
      <c r="F118" s="16" t="s">
        <v>14</v>
      </c>
      <c r="G118" s="17" t="str">
        <f t="shared" si="8"/>
        <v xml:space="preserve"> quatre vingt treize mille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2:20" x14ac:dyDescent="0.35">
      <c r="B119" s="16">
        <v>94000</v>
      </c>
      <c r="C119" s="16" t="s">
        <v>106</v>
      </c>
      <c r="D119" s="17"/>
      <c r="E119" s="17"/>
      <c r="F119" s="16" t="s">
        <v>14</v>
      </c>
      <c r="G119" s="17" t="str">
        <f t="shared" si="8"/>
        <v xml:space="preserve"> quatre vingt quatorze mille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2:20" x14ac:dyDescent="0.35">
      <c r="B120" s="16">
        <v>95000</v>
      </c>
      <c r="C120" s="16" t="s">
        <v>107</v>
      </c>
      <c r="D120" s="17"/>
      <c r="E120" s="17"/>
      <c r="F120" s="16" t="s">
        <v>14</v>
      </c>
      <c r="G120" s="17" t="str">
        <f t="shared" si="8"/>
        <v xml:space="preserve"> quatre vingt quinze mille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2:20" x14ac:dyDescent="0.35">
      <c r="B121" s="16">
        <v>96000</v>
      </c>
      <c r="C121" s="16" t="s">
        <v>108</v>
      </c>
      <c r="D121" s="17"/>
      <c r="E121" s="17"/>
      <c r="F121" s="16" t="s">
        <v>14</v>
      </c>
      <c r="G121" s="17" t="str">
        <f t="shared" si="8"/>
        <v xml:space="preserve"> quatre vingt seize mille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2:20" x14ac:dyDescent="0.35">
      <c r="B122" s="16">
        <v>97000</v>
      </c>
      <c r="C122" s="16" t="s">
        <v>109</v>
      </c>
      <c r="D122" s="17"/>
      <c r="E122" s="17"/>
      <c r="F122" s="16" t="s">
        <v>14</v>
      </c>
      <c r="G122" s="17" t="str">
        <f t="shared" si="8"/>
        <v xml:space="preserve"> quatre vingt dix sept mille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2:20" x14ac:dyDescent="0.35">
      <c r="B123" s="16">
        <v>98000</v>
      </c>
      <c r="C123" s="16" t="s">
        <v>110</v>
      </c>
      <c r="D123" s="17"/>
      <c r="E123" s="17"/>
      <c r="F123" s="16" t="s">
        <v>14</v>
      </c>
      <c r="G123" s="17" t="str">
        <f t="shared" si="8"/>
        <v xml:space="preserve"> quatre vingt dix huit mille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2:20" x14ac:dyDescent="0.35">
      <c r="B124" s="16">
        <v>99000</v>
      </c>
      <c r="C124" s="16" t="s">
        <v>111</v>
      </c>
      <c r="D124" s="17"/>
      <c r="E124" s="17"/>
      <c r="F124" s="16" t="s">
        <v>14</v>
      </c>
      <c r="G124" s="17" t="str">
        <f t="shared" si="8"/>
        <v xml:space="preserve"> quatre vingt dix neuf mille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2:20" x14ac:dyDescent="0.35">
      <c r="B125" s="16">
        <v>100000</v>
      </c>
      <c r="C125" s="16" t="s">
        <v>112</v>
      </c>
      <c r="D125" s="17"/>
      <c r="E125" s="17"/>
      <c r="F125" s="16" t="s">
        <v>14</v>
      </c>
      <c r="G125" s="17" t="str">
        <f>CONCATENATE(C125,D125,E125,F125)</f>
        <v xml:space="preserve"> cent mille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2:20" x14ac:dyDescent="0.35">
      <c r="B126" s="16">
        <v>101000</v>
      </c>
      <c r="C126" s="16" t="s">
        <v>112</v>
      </c>
      <c r="D126" s="16" t="s">
        <v>114</v>
      </c>
      <c r="E126" s="17"/>
      <c r="F126" s="16" t="s">
        <v>14</v>
      </c>
      <c r="G126" s="17" t="str">
        <f>CONCATENATE(C126,D126,E126,F126)</f>
        <v xml:space="preserve"> cent un mille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2:20" x14ac:dyDescent="0.35">
      <c r="B127" s="16">
        <v>102000</v>
      </c>
      <c r="C127" s="16" t="s">
        <v>112</v>
      </c>
      <c r="D127" s="16" t="s">
        <v>16</v>
      </c>
      <c r="E127" s="17"/>
      <c r="F127" s="16" t="s">
        <v>14</v>
      </c>
      <c r="G127" s="17" t="str">
        <f t="shared" ref="G127:G190" si="9">CONCATENATE(C127,D127,E127,F127)</f>
        <v xml:space="preserve"> cent deux mille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2:20" x14ac:dyDescent="0.35">
      <c r="B128" s="16">
        <v>103000</v>
      </c>
      <c r="C128" s="16" t="s">
        <v>112</v>
      </c>
      <c r="D128" s="16" t="s">
        <v>20</v>
      </c>
      <c r="E128" s="17"/>
      <c r="F128" s="16" t="s">
        <v>14</v>
      </c>
      <c r="G128" s="17" t="str">
        <f t="shared" si="9"/>
        <v xml:space="preserve"> cent trois mille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2:20" x14ac:dyDescent="0.35">
      <c r="B129" s="16">
        <v>104000</v>
      </c>
      <c r="C129" s="16" t="s">
        <v>112</v>
      </c>
      <c r="D129" s="16" t="s">
        <v>24</v>
      </c>
      <c r="E129" s="17"/>
      <c r="F129" s="16" t="s">
        <v>14</v>
      </c>
      <c r="G129" s="17" t="str">
        <f t="shared" si="9"/>
        <v xml:space="preserve"> cent quatre mille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2:20" x14ac:dyDescent="0.35">
      <c r="B130" s="16">
        <v>105000</v>
      </c>
      <c r="C130" s="16" t="s">
        <v>112</v>
      </c>
      <c r="D130" s="16" t="s">
        <v>11</v>
      </c>
      <c r="E130" s="17"/>
      <c r="F130" s="16" t="s">
        <v>14</v>
      </c>
      <c r="G130" s="17" t="str">
        <f t="shared" si="9"/>
        <v xml:space="preserve"> cent cinq mille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2:20" x14ac:dyDescent="0.35">
      <c r="B131" s="16">
        <v>106000</v>
      </c>
      <c r="C131" s="16" t="s">
        <v>112</v>
      </c>
      <c r="D131" s="16" t="s">
        <v>17</v>
      </c>
      <c r="E131" s="17"/>
      <c r="F131" s="16" t="s">
        <v>14</v>
      </c>
      <c r="G131" s="17" t="str">
        <f t="shared" si="9"/>
        <v xml:space="preserve"> cent six  mille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2:20" x14ac:dyDescent="0.35">
      <c r="B132" s="16">
        <v>107000</v>
      </c>
      <c r="C132" s="16" t="s">
        <v>112</v>
      </c>
      <c r="D132" s="16" t="s">
        <v>21</v>
      </c>
      <c r="E132" s="17"/>
      <c r="F132" s="16" t="s">
        <v>14</v>
      </c>
      <c r="G132" s="17" t="str">
        <f t="shared" si="9"/>
        <v xml:space="preserve"> cent sept mille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2:20" x14ac:dyDescent="0.35">
      <c r="B133" s="16">
        <v>108000</v>
      </c>
      <c r="C133" s="16" t="s">
        <v>112</v>
      </c>
      <c r="D133" s="16" t="s">
        <v>25</v>
      </c>
      <c r="E133" s="17"/>
      <c r="F133" s="16" t="s">
        <v>14</v>
      </c>
      <c r="G133" s="17" t="str">
        <f t="shared" si="9"/>
        <v xml:space="preserve"> cent huit mille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2:20" x14ac:dyDescent="0.35">
      <c r="B134" s="16">
        <v>109000</v>
      </c>
      <c r="C134" s="16" t="s">
        <v>112</v>
      </c>
      <c r="D134" s="16" t="s">
        <v>28</v>
      </c>
      <c r="E134" s="17"/>
      <c r="F134" s="16" t="s">
        <v>14</v>
      </c>
      <c r="G134" s="17" t="str">
        <f t="shared" si="9"/>
        <v xml:space="preserve"> cent neuf mille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2:20" x14ac:dyDescent="0.35">
      <c r="B135" s="16">
        <v>110000</v>
      </c>
      <c r="C135" s="16" t="s">
        <v>112</v>
      </c>
      <c r="D135" s="16" t="s">
        <v>39</v>
      </c>
      <c r="E135" s="17"/>
      <c r="F135" s="16" t="s">
        <v>14</v>
      </c>
      <c r="G135" s="17" t="str">
        <f t="shared" si="9"/>
        <v xml:space="preserve"> cent dix mille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2:20" x14ac:dyDescent="0.35">
      <c r="B136" s="16">
        <v>111000</v>
      </c>
      <c r="C136" s="16" t="s">
        <v>112</v>
      </c>
      <c r="D136" s="16" t="s">
        <v>42</v>
      </c>
      <c r="E136" s="17"/>
      <c r="F136" s="16" t="s">
        <v>14</v>
      </c>
      <c r="G136" s="17" t="str">
        <f t="shared" si="9"/>
        <v xml:space="preserve"> cent onze mille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2:20" x14ac:dyDescent="0.35">
      <c r="B137" s="16">
        <v>112000</v>
      </c>
      <c r="C137" s="16" t="s">
        <v>112</v>
      </c>
      <c r="D137" s="16" t="s">
        <v>44</v>
      </c>
      <c r="E137" s="17"/>
      <c r="F137" s="16" t="s">
        <v>14</v>
      </c>
      <c r="G137" s="17" t="str">
        <f t="shared" si="9"/>
        <v xml:space="preserve"> cent douze mille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2:20" x14ac:dyDescent="0.35">
      <c r="B138" s="16">
        <v>113000</v>
      </c>
      <c r="C138" s="16" t="s">
        <v>112</v>
      </c>
      <c r="D138" s="16" t="s">
        <v>46</v>
      </c>
      <c r="E138" s="17"/>
      <c r="F138" s="16" t="s">
        <v>14</v>
      </c>
      <c r="G138" s="17" t="str">
        <f t="shared" si="9"/>
        <v xml:space="preserve"> cent treize mille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2:20" x14ac:dyDescent="0.35">
      <c r="B139" s="16">
        <v>114000</v>
      </c>
      <c r="C139" s="16" t="s">
        <v>112</v>
      </c>
      <c r="D139" s="16" t="s">
        <v>48</v>
      </c>
      <c r="E139" s="17"/>
      <c r="F139" s="16" t="s">
        <v>14</v>
      </c>
      <c r="G139" s="17" t="str">
        <f t="shared" si="9"/>
        <v xml:space="preserve"> cent quatorze mille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2:20" x14ac:dyDescent="0.35">
      <c r="B140" s="16">
        <v>115000</v>
      </c>
      <c r="C140" s="16" t="s">
        <v>112</v>
      </c>
      <c r="D140" s="16" t="s">
        <v>13</v>
      </c>
      <c r="E140" s="17"/>
      <c r="F140" s="16" t="s">
        <v>14</v>
      </c>
      <c r="G140" s="17" t="str">
        <f t="shared" si="9"/>
        <v xml:space="preserve"> cent quinze mille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2:20" x14ac:dyDescent="0.35">
      <c r="B141" s="16">
        <v>116000</v>
      </c>
      <c r="C141" s="16" t="s">
        <v>112</v>
      </c>
      <c r="D141" s="16" t="s">
        <v>19</v>
      </c>
      <c r="E141" s="17"/>
      <c r="F141" s="16" t="s">
        <v>14</v>
      </c>
      <c r="G141" s="17" t="str">
        <f t="shared" si="9"/>
        <v xml:space="preserve"> cent seize mille</v>
      </c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2:20" x14ac:dyDescent="0.35">
      <c r="B142" s="16">
        <v>117000</v>
      </c>
      <c r="C142" s="16" t="s">
        <v>112</v>
      </c>
      <c r="D142" s="16" t="s">
        <v>23</v>
      </c>
      <c r="E142" s="17"/>
      <c r="F142" s="16" t="s">
        <v>14</v>
      </c>
      <c r="G142" s="17" t="str">
        <f t="shared" si="9"/>
        <v xml:space="preserve"> cent dix sept mille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2:20" x14ac:dyDescent="0.35">
      <c r="B143" s="16">
        <v>118000</v>
      </c>
      <c r="C143" s="16" t="s">
        <v>112</v>
      </c>
      <c r="D143" s="16" t="s">
        <v>27</v>
      </c>
      <c r="E143" s="17"/>
      <c r="F143" s="16" t="s">
        <v>14</v>
      </c>
      <c r="G143" s="17" t="str">
        <f t="shared" si="9"/>
        <v xml:space="preserve"> cent dix huit mille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2:20" x14ac:dyDescent="0.35">
      <c r="B144" s="16">
        <v>119000</v>
      </c>
      <c r="C144" s="16" t="s">
        <v>112</v>
      </c>
      <c r="D144" s="16" t="s">
        <v>30</v>
      </c>
      <c r="E144" s="17"/>
      <c r="F144" s="16" t="s">
        <v>14</v>
      </c>
      <c r="G144" s="17" t="str">
        <f t="shared" si="9"/>
        <v xml:space="preserve"> cent dix neuf mille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2:20" x14ac:dyDescent="0.35">
      <c r="B145" s="16">
        <v>120000</v>
      </c>
      <c r="C145" s="16" t="s">
        <v>112</v>
      </c>
      <c r="D145" s="16" t="s">
        <v>10</v>
      </c>
      <c r="E145" s="17"/>
      <c r="F145" s="16" t="s">
        <v>14</v>
      </c>
      <c r="G145" s="17" t="str">
        <f t="shared" si="9"/>
        <v xml:space="preserve"> cent vingt mille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2:20" x14ac:dyDescent="0.35">
      <c r="B146" s="16">
        <v>121000</v>
      </c>
      <c r="C146" s="16" t="s">
        <v>112</v>
      </c>
      <c r="D146" s="16" t="s">
        <v>115</v>
      </c>
      <c r="E146" s="16" t="s">
        <v>32</v>
      </c>
      <c r="F146" s="16" t="s">
        <v>14</v>
      </c>
      <c r="G146" s="17" t="str">
        <f t="shared" si="9"/>
        <v xml:space="preserve"> cent vingt  et un mille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20" x14ac:dyDescent="0.35">
      <c r="B147" s="16">
        <v>122000</v>
      </c>
      <c r="C147" s="16" t="s">
        <v>112</v>
      </c>
      <c r="D147" s="16" t="s">
        <v>10</v>
      </c>
      <c r="E147" s="16" t="s">
        <v>16</v>
      </c>
      <c r="F147" s="16" t="s">
        <v>14</v>
      </c>
      <c r="G147" s="17" t="str">
        <f t="shared" si="9"/>
        <v xml:space="preserve"> cent vingt deux mille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2:20" x14ac:dyDescent="0.35">
      <c r="B148" s="16">
        <v>123000</v>
      </c>
      <c r="C148" s="16" t="s">
        <v>112</v>
      </c>
      <c r="D148" s="16" t="s">
        <v>10</v>
      </c>
      <c r="E148" s="16" t="s">
        <v>20</v>
      </c>
      <c r="F148" s="16" t="s">
        <v>14</v>
      </c>
      <c r="G148" s="17" t="str">
        <f t="shared" si="9"/>
        <v xml:space="preserve"> cent vingt trois mille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2:20" x14ac:dyDescent="0.35">
      <c r="B149" s="16">
        <v>124000</v>
      </c>
      <c r="C149" s="16" t="s">
        <v>112</v>
      </c>
      <c r="D149" s="16" t="s">
        <v>10</v>
      </c>
      <c r="E149" s="16" t="s">
        <v>24</v>
      </c>
      <c r="F149" s="16" t="s">
        <v>14</v>
      </c>
      <c r="G149" s="17" t="str">
        <f t="shared" si="9"/>
        <v xml:space="preserve"> cent vingt quatre mille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20" x14ac:dyDescent="0.35">
      <c r="B150" s="16">
        <v>125000</v>
      </c>
      <c r="C150" s="16" t="s">
        <v>112</v>
      </c>
      <c r="D150" s="16" t="s">
        <v>10</v>
      </c>
      <c r="E150" s="16" t="s">
        <v>11</v>
      </c>
      <c r="F150" s="16" t="s">
        <v>14</v>
      </c>
      <c r="G150" s="17" t="str">
        <f t="shared" si="9"/>
        <v xml:space="preserve"> cent vingt cinq mille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2:20" x14ac:dyDescent="0.35">
      <c r="B151" s="16">
        <v>126000</v>
      </c>
      <c r="C151" s="16" t="s">
        <v>112</v>
      </c>
      <c r="D151" s="16" t="s">
        <v>10</v>
      </c>
      <c r="E151" s="16" t="s">
        <v>116</v>
      </c>
      <c r="F151" s="16" t="s">
        <v>14</v>
      </c>
      <c r="G151" s="17" t="str">
        <f t="shared" si="9"/>
        <v xml:space="preserve"> cent vingt six mille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2:20" x14ac:dyDescent="0.35">
      <c r="B152" s="16">
        <v>127000</v>
      </c>
      <c r="C152" s="16" t="s">
        <v>112</v>
      </c>
      <c r="D152" s="16" t="s">
        <v>10</v>
      </c>
      <c r="E152" s="16" t="s">
        <v>21</v>
      </c>
      <c r="F152" s="16" t="s">
        <v>14</v>
      </c>
      <c r="G152" s="17" t="str">
        <f t="shared" si="9"/>
        <v xml:space="preserve"> cent vingt sept mille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2:20" x14ac:dyDescent="0.35">
      <c r="B153" s="16">
        <v>128000</v>
      </c>
      <c r="C153" s="16" t="s">
        <v>112</v>
      </c>
      <c r="D153" s="16" t="s">
        <v>10</v>
      </c>
      <c r="E153" s="16" t="s">
        <v>25</v>
      </c>
      <c r="F153" s="16" t="s">
        <v>14</v>
      </c>
      <c r="G153" s="17" t="str">
        <f t="shared" si="9"/>
        <v xml:space="preserve"> cent vingt huit mille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2:20" x14ac:dyDescent="0.35">
      <c r="B154" s="16">
        <v>129000</v>
      </c>
      <c r="C154" s="16" t="s">
        <v>112</v>
      </c>
      <c r="D154" s="16" t="s">
        <v>10</v>
      </c>
      <c r="E154" s="16" t="s">
        <v>28</v>
      </c>
      <c r="F154" s="16" t="s">
        <v>14</v>
      </c>
      <c r="G154" s="17" t="str">
        <f t="shared" si="9"/>
        <v xml:space="preserve"> cent vingt neuf mille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2:20" x14ac:dyDescent="0.35">
      <c r="B155" s="16">
        <v>130000</v>
      </c>
      <c r="C155" s="16" t="s">
        <v>112</v>
      </c>
      <c r="D155" s="16" t="s">
        <v>31</v>
      </c>
      <c r="E155" s="16"/>
      <c r="F155" s="16" t="s">
        <v>14</v>
      </c>
      <c r="G155" s="17" t="str">
        <f t="shared" si="9"/>
        <v xml:space="preserve"> cent trente mille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2:20" x14ac:dyDescent="0.35">
      <c r="B156" s="16">
        <v>131000</v>
      </c>
      <c r="C156" s="16" t="s">
        <v>112</v>
      </c>
      <c r="D156" s="16" t="s">
        <v>31</v>
      </c>
      <c r="E156" s="16" t="s">
        <v>32</v>
      </c>
      <c r="F156" s="16" t="s">
        <v>14</v>
      </c>
      <c r="G156" s="17" t="str">
        <f t="shared" si="9"/>
        <v xml:space="preserve"> cent trente et un mille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2:20" x14ac:dyDescent="0.35">
      <c r="B157" s="16">
        <v>132000</v>
      </c>
      <c r="C157" s="16" t="s">
        <v>112</v>
      </c>
      <c r="D157" s="16" t="s">
        <v>31</v>
      </c>
      <c r="E157" s="16" t="s">
        <v>16</v>
      </c>
      <c r="F157" s="16" t="s">
        <v>14</v>
      </c>
      <c r="G157" s="17" t="str">
        <f t="shared" si="9"/>
        <v xml:space="preserve"> cent trente deux mille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2:20" x14ac:dyDescent="0.35">
      <c r="B158" s="16">
        <v>133000</v>
      </c>
      <c r="C158" s="16" t="s">
        <v>112</v>
      </c>
      <c r="D158" s="16" t="s">
        <v>31</v>
      </c>
      <c r="E158" s="16" t="s">
        <v>20</v>
      </c>
      <c r="F158" s="16" t="s">
        <v>14</v>
      </c>
      <c r="G158" s="17" t="str">
        <f t="shared" si="9"/>
        <v xml:space="preserve"> cent trente trois mille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2:20" x14ac:dyDescent="0.35">
      <c r="B159" s="16">
        <v>134000</v>
      </c>
      <c r="C159" s="16" t="s">
        <v>112</v>
      </c>
      <c r="D159" s="16" t="s">
        <v>31</v>
      </c>
      <c r="E159" s="16" t="s">
        <v>24</v>
      </c>
      <c r="F159" s="16" t="s">
        <v>14</v>
      </c>
      <c r="G159" s="17" t="str">
        <f t="shared" si="9"/>
        <v xml:space="preserve"> cent trente quatre mille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2:20" x14ac:dyDescent="0.35">
      <c r="B160" s="16">
        <v>135000</v>
      </c>
      <c r="C160" s="16" t="s">
        <v>112</v>
      </c>
      <c r="D160" s="16" t="s">
        <v>31</v>
      </c>
      <c r="E160" s="16" t="s">
        <v>11</v>
      </c>
      <c r="F160" s="16" t="s">
        <v>14</v>
      </c>
      <c r="G160" s="17" t="str">
        <f t="shared" si="9"/>
        <v xml:space="preserve"> cent trente cinq mille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2:20" x14ac:dyDescent="0.35">
      <c r="B161" s="16">
        <v>136000</v>
      </c>
      <c r="C161" s="16" t="s">
        <v>112</v>
      </c>
      <c r="D161" s="16" t="s">
        <v>31</v>
      </c>
      <c r="E161" s="16" t="s">
        <v>116</v>
      </c>
      <c r="F161" s="16" t="s">
        <v>14</v>
      </c>
      <c r="G161" s="17" t="str">
        <f t="shared" si="9"/>
        <v xml:space="preserve"> cent trente six mille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2:20" x14ac:dyDescent="0.35">
      <c r="B162" s="16">
        <v>137000</v>
      </c>
      <c r="C162" s="16" t="s">
        <v>112</v>
      </c>
      <c r="D162" s="16" t="s">
        <v>31</v>
      </c>
      <c r="E162" s="16" t="s">
        <v>21</v>
      </c>
      <c r="F162" s="16" t="s">
        <v>14</v>
      </c>
      <c r="G162" s="17" t="str">
        <f t="shared" si="9"/>
        <v xml:space="preserve"> cent trente sept mille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2:20" x14ac:dyDescent="0.35">
      <c r="B163" s="16">
        <v>138000</v>
      </c>
      <c r="C163" s="16" t="s">
        <v>112</v>
      </c>
      <c r="D163" s="16" t="s">
        <v>31</v>
      </c>
      <c r="E163" s="16" t="s">
        <v>25</v>
      </c>
      <c r="F163" s="16" t="s">
        <v>14</v>
      </c>
      <c r="G163" s="17" t="str">
        <f t="shared" si="9"/>
        <v xml:space="preserve"> cent trente huit mille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2:20" x14ac:dyDescent="0.35">
      <c r="B164" s="16">
        <v>139000</v>
      </c>
      <c r="C164" s="16" t="s">
        <v>112</v>
      </c>
      <c r="D164" s="16" t="s">
        <v>31</v>
      </c>
      <c r="E164" s="16" t="s">
        <v>28</v>
      </c>
      <c r="F164" s="16" t="s">
        <v>14</v>
      </c>
      <c r="G164" s="17" t="str">
        <f t="shared" si="9"/>
        <v xml:space="preserve"> cent trente neuf mille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2:20" x14ac:dyDescent="0.35">
      <c r="B165" s="16">
        <v>140000</v>
      </c>
      <c r="C165" s="16" t="s">
        <v>112</v>
      </c>
      <c r="D165" s="16" t="s">
        <v>51</v>
      </c>
      <c r="E165" s="16"/>
      <c r="F165" s="16" t="s">
        <v>14</v>
      </c>
      <c r="G165" s="17" t="str">
        <f t="shared" si="9"/>
        <v xml:space="preserve"> cent quarante mille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2:20" x14ac:dyDescent="0.35">
      <c r="B166" s="16">
        <v>141000</v>
      </c>
      <c r="C166" s="16" t="s">
        <v>112</v>
      </c>
      <c r="D166" s="16" t="s">
        <v>51</v>
      </c>
      <c r="E166" s="16" t="s">
        <v>32</v>
      </c>
      <c r="F166" s="16" t="s">
        <v>14</v>
      </c>
      <c r="G166" s="17" t="str">
        <f t="shared" si="9"/>
        <v xml:space="preserve"> cent quarante et un mille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2:20" x14ac:dyDescent="0.35">
      <c r="B167" s="16">
        <v>142000</v>
      </c>
      <c r="C167" s="16" t="s">
        <v>112</v>
      </c>
      <c r="D167" s="16" t="s">
        <v>51</v>
      </c>
      <c r="E167" s="16" t="s">
        <v>16</v>
      </c>
      <c r="F167" s="16" t="s">
        <v>14</v>
      </c>
      <c r="G167" s="17" t="str">
        <f t="shared" si="9"/>
        <v xml:space="preserve"> cent quarante deux mille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2:20" x14ac:dyDescent="0.35">
      <c r="B168" s="16">
        <v>143000</v>
      </c>
      <c r="C168" s="16" t="s">
        <v>112</v>
      </c>
      <c r="D168" s="16" t="s">
        <v>51</v>
      </c>
      <c r="E168" s="16" t="s">
        <v>20</v>
      </c>
      <c r="F168" s="16" t="s">
        <v>14</v>
      </c>
      <c r="G168" s="17" t="str">
        <f t="shared" si="9"/>
        <v xml:space="preserve"> cent quarante trois mille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2:20" x14ac:dyDescent="0.35">
      <c r="B169" s="16">
        <v>144000</v>
      </c>
      <c r="C169" s="16" t="s">
        <v>112</v>
      </c>
      <c r="D169" s="16" t="s">
        <v>51</v>
      </c>
      <c r="E169" s="16" t="s">
        <v>24</v>
      </c>
      <c r="F169" s="16" t="s">
        <v>14</v>
      </c>
      <c r="G169" s="17" t="str">
        <f t="shared" si="9"/>
        <v xml:space="preserve"> cent quarante quatre mille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2:20" x14ac:dyDescent="0.35">
      <c r="B170" s="16">
        <v>145000</v>
      </c>
      <c r="C170" s="16" t="s">
        <v>112</v>
      </c>
      <c r="D170" s="16" t="s">
        <v>51</v>
      </c>
      <c r="E170" s="16" t="s">
        <v>11</v>
      </c>
      <c r="F170" s="16" t="s">
        <v>14</v>
      </c>
      <c r="G170" s="17" t="str">
        <f t="shared" si="9"/>
        <v xml:space="preserve"> cent quarante cinq mille</v>
      </c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2:20" x14ac:dyDescent="0.35">
      <c r="B171" s="16">
        <v>146000</v>
      </c>
      <c r="C171" s="16" t="s">
        <v>112</v>
      </c>
      <c r="D171" s="16" t="s">
        <v>51</v>
      </c>
      <c r="E171" s="16" t="s">
        <v>116</v>
      </c>
      <c r="F171" s="16" t="s">
        <v>14</v>
      </c>
      <c r="G171" s="17" t="str">
        <f t="shared" si="9"/>
        <v xml:space="preserve"> cent quarante six mille</v>
      </c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2:20" x14ac:dyDescent="0.35">
      <c r="B172" s="16">
        <v>147000</v>
      </c>
      <c r="C172" s="16" t="s">
        <v>112</v>
      </c>
      <c r="D172" s="16" t="s">
        <v>51</v>
      </c>
      <c r="E172" s="16" t="s">
        <v>21</v>
      </c>
      <c r="F172" s="16" t="s">
        <v>14</v>
      </c>
      <c r="G172" s="17" t="str">
        <f t="shared" si="9"/>
        <v xml:space="preserve"> cent quarante sept mille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2:20" x14ac:dyDescent="0.35">
      <c r="B173" s="16">
        <v>148000</v>
      </c>
      <c r="C173" s="16" t="s">
        <v>112</v>
      </c>
      <c r="D173" s="16" t="s">
        <v>51</v>
      </c>
      <c r="E173" s="16" t="s">
        <v>25</v>
      </c>
      <c r="F173" s="16" t="s">
        <v>14</v>
      </c>
      <c r="G173" s="17" t="str">
        <f t="shared" si="9"/>
        <v xml:space="preserve"> cent quarante huit mille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2:20" x14ac:dyDescent="0.35">
      <c r="B174" s="16">
        <v>149000</v>
      </c>
      <c r="C174" s="16" t="s">
        <v>112</v>
      </c>
      <c r="D174" s="16" t="s">
        <v>51</v>
      </c>
      <c r="E174" s="16" t="s">
        <v>28</v>
      </c>
      <c r="F174" s="16" t="s">
        <v>14</v>
      </c>
      <c r="G174" s="17" t="str">
        <f t="shared" si="9"/>
        <v xml:space="preserve"> cent quarante neuf mille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2:20" x14ac:dyDescent="0.35">
      <c r="B175" s="16">
        <v>150000</v>
      </c>
      <c r="C175" s="16" t="s">
        <v>112</v>
      </c>
      <c r="D175" s="16" t="s">
        <v>61</v>
      </c>
      <c r="E175" s="16"/>
      <c r="F175" s="16" t="s">
        <v>14</v>
      </c>
      <c r="G175" s="17" t="str">
        <f t="shared" si="9"/>
        <v xml:space="preserve"> cent cinquante mille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2:20" x14ac:dyDescent="0.35">
      <c r="B176" s="16">
        <v>151000</v>
      </c>
      <c r="C176" s="16" t="s">
        <v>112</v>
      </c>
      <c r="D176" s="16" t="s">
        <v>61</v>
      </c>
      <c r="E176" s="16" t="s">
        <v>32</v>
      </c>
      <c r="F176" s="16" t="s">
        <v>14</v>
      </c>
      <c r="G176" s="17" t="str">
        <f t="shared" si="9"/>
        <v xml:space="preserve"> cent cinquante et un mille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2:20" x14ac:dyDescent="0.35">
      <c r="B177" s="16">
        <v>152000</v>
      </c>
      <c r="C177" s="16" t="s">
        <v>112</v>
      </c>
      <c r="D177" s="16" t="s">
        <v>61</v>
      </c>
      <c r="E177" s="16" t="s">
        <v>16</v>
      </c>
      <c r="F177" s="16" t="s">
        <v>14</v>
      </c>
      <c r="G177" s="17" t="str">
        <f t="shared" si="9"/>
        <v xml:space="preserve"> cent cinquante deux mille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2:20" x14ac:dyDescent="0.35">
      <c r="B178" s="16">
        <v>153000</v>
      </c>
      <c r="C178" s="16" t="s">
        <v>112</v>
      </c>
      <c r="D178" s="16" t="s">
        <v>61</v>
      </c>
      <c r="E178" s="16" t="s">
        <v>20</v>
      </c>
      <c r="F178" s="16" t="s">
        <v>14</v>
      </c>
      <c r="G178" s="17" t="str">
        <f t="shared" si="9"/>
        <v xml:space="preserve"> cent cinquante trois mille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2:20" x14ac:dyDescent="0.35">
      <c r="B179" s="16">
        <v>154000</v>
      </c>
      <c r="C179" s="16" t="s">
        <v>112</v>
      </c>
      <c r="D179" s="16" t="s">
        <v>61</v>
      </c>
      <c r="E179" s="16" t="s">
        <v>24</v>
      </c>
      <c r="F179" s="16" t="s">
        <v>14</v>
      </c>
      <c r="G179" s="17" t="str">
        <f t="shared" si="9"/>
        <v xml:space="preserve"> cent cinquante quatre mille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2:20" x14ac:dyDescent="0.35">
      <c r="B180" s="16">
        <v>155000</v>
      </c>
      <c r="C180" s="16" t="s">
        <v>112</v>
      </c>
      <c r="D180" s="16" t="s">
        <v>61</v>
      </c>
      <c r="E180" s="16" t="s">
        <v>11</v>
      </c>
      <c r="F180" s="16" t="s">
        <v>14</v>
      </c>
      <c r="G180" s="17" t="str">
        <f t="shared" si="9"/>
        <v xml:space="preserve"> cent cinquante cinq mille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2:20" x14ac:dyDescent="0.35">
      <c r="B181" s="16">
        <v>156000</v>
      </c>
      <c r="C181" s="16" t="s">
        <v>112</v>
      </c>
      <c r="D181" s="16" t="s">
        <v>61</v>
      </c>
      <c r="E181" s="16" t="s">
        <v>116</v>
      </c>
      <c r="F181" s="16" t="s">
        <v>14</v>
      </c>
      <c r="G181" s="17" t="str">
        <f t="shared" si="9"/>
        <v xml:space="preserve"> cent cinquante six mille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pans="2:20" x14ac:dyDescent="0.35">
      <c r="B182" s="16">
        <v>157000</v>
      </c>
      <c r="C182" s="16" t="s">
        <v>112</v>
      </c>
      <c r="D182" s="16" t="s">
        <v>61</v>
      </c>
      <c r="E182" s="16" t="s">
        <v>21</v>
      </c>
      <c r="F182" s="16" t="s">
        <v>14</v>
      </c>
      <c r="G182" s="17" t="str">
        <f t="shared" si="9"/>
        <v xml:space="preserve"> cent cinquante sept mille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pans="2:20" x14ac:dyDescent="0.35">
      <c r="B183" s="16">
        <v>158000</v>
      </c>
      <c r="C183" s="16" t="s">
        <v>112</v>
      </c>
      <c r="D183" s="16" t="s">
        <v>61</v>
      </c>
      <c r="E183" s="16" t="s">
        <v>25</v>
      </c>
      <c r="F183" s="16" t="s">
        <v>14</v>
      </c>
      <c r="G183" s="17" t="str">
        <f t="shared" si="9"/>
        <v xml:space="preserve"> cent cinquante huit mille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2:20" x14ac:dyDescent="0.35">
      <c r="B184" s="16">
        <v>159000</v>
      </c>
      <c r="C184" s="16" t="s">
        <v>112</v>
      </c>
      <c r="D184" s="16" t="s">
        <v>61</v>
      </c>
      <c r="E184" s="16" t="s">
        <v>28</v>
      </c>
      <c r="F184" s="16" t="s">
        <v>14</v>
      </c>
      <c r="G184" s="17" t="str">
        <f t="shared" si="9"/>
        <v xml:space="preserve"> cent cinquante neuf mille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2:20" x14ac:dyDescent="0.35">
      <c r="B185" s="16">
        <v>160000</v>
      </c>
      <c r="C185" s="16" t="s">
        <v>112</v>
      </c>
      <c r="D185" s="16" t="s">
        <v>71</v>
      </c>
      <c r="E185" s="16"/>
      <c r="F185" s="16" t="s">
        <v>14</v>
      </c>
      <c r="G185" s="17" t="str">
        <f t="shared" si="9"/>
        <v xml:space="preserve"> cent soixante mille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pans="2:20" x14ac:dyDescent="0.35">
      <c r="B186" s="16">
        <v>161000</v>
      </c>
      <c r="C186" s="16" t="s">
        <v>112</v>
      </c>
      <c r="D186" s="16" t="s">
        <v>71</v>
      </c>
      <c r="E186" s="16" t="s">
        <v>32</v>
      </c>
      <c r="F186" s="16" t="s">
        <v>14</v>
      </c>
      <c r="G186" s="17" t="str">
        <f t="shared" si="9"/>
        <v xml:space="preserve"> cent soixante et un mille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pans="2:20" x14ac:dyDescent="0.35">
      <c r="B187" s="16">
        <v>162000</v>
      </c>
      <c r="C187" s="16" t="s">
        <v>112</v>
      </c>
      <c r="D187" s="16" t="s">
        <v>71</v>
      </c>
      <c r="E187" s="16" t="s">
        <v>16</v>
      </c>
      <c r="F187" s="16" t="s">
        <v>14</v>
      </c>
      <c r="G187" s="17" t="str">
        <f t="shared" si="9"/>
        <v xml:space="preserve"> cent soixante deux mille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2:20" x14ac:dyDescent="0.35">
      <c r="B188" s="16">
        <v>163000</v>
      </c>
      <c r="C188" s="16" t="s">
        <v>112</v>
      </c>
      <c r="D188" s="16" t="s">
        <v>71</v>
      </c>
      <c r="E188" s="16" t="s">
        <v>20</v>
      </c>
      <c r="F188" s="16" t="s">
        <v>14</v>
      </c>
      <c r="G188" s="17" t="str">
        <f t="shared" si="9"/>
        <v xml:space="preserve"> cent soixante trois mille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2:20" x14ac:dyDescent="0.35">
      <c r="B189" s="16">
        <v>164000</v>
      </c>
      <c r="C189" s="16" t="s">
        <v>112</v>
      </c>
      <c r="D189" s="16" t="s">
        <v>71</v>
      </c>
      <c r="E189" s="16" t="s">
        <v>24</v>
      </c>
      <c r="F189" s="16" t="s">
        <v>14</v>
      </c>
      <c r="G189" s="17" t="str">
        <f t="shared" si="9"/>
        <v xml:space="preserve"> cent soixante quatre mille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2:20" x14ac:dyDescent="0.35">
      <c r="B190" s="16">
        <v>165000</v>
      </c>
      <c r="C190" s="16" t="s">
        <v>112</v>
      </c>
      <c r="D190" s="16" t="s">
        <v>71</v>
      </c>
      <c r="E190" s="16" t="s">
        <v>11</v>
      </c>
      <c r="F190" s="16" t="s">
        <v>14</v>
      </c>
      <c r="G190" s="17" t="str">
        <f t="shared" si="9"/>
        <v xml:space="preserve"> cent soixante cinq mille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pans="2:20" x14ac:dyDescent="0.35">
      <c r="B191" s="16">
        <v>166000</v>
      </c>
      <c r="C191" s="16" t="s">
        <v>112</v>
      </c>
      <c r="D191" s="16" t="s">
        <v>71</v>
      </c>
      <c r="E191" s="16" t="s">
        <v>116</v>
      </c>
      <c r="F191" s="16" t="s">
        <v>14</v>
      </c>
      <c r="G191" s="17" t="str">
        <f t="shared" ref="G191:G254" si="10">CONCATENATE(C191,D191,E191,F191)</f>
        <v xml:space="preserve"> cent soixante six mille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2:20" x14ac:dyDescent="0.35">
      <c r="B192" s="16">
        <v>167000</v>
      </c>
      <c r="C192" s="16" t="s">
        <v>112</v>
      </c>
      <c r="D192" s="16" t="s">
        <v>71</v>
      </c>
      <c r="E192" s="16" t="s">
        <v>21</v>
      </c>
      <c r="F192" s="16" t="s">
        <v>14</v>
      </c>
      <c r="G192" s="17" t="str">
        <f t="shared" si="10"/>
        <v xml:space="preserve"> cent soixante sept mille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pans="2:20" x14ac:dyDescent="0.35">
      <c r="B193" s="16">
        <v>168000</v>
      </c>
      <c r="C193" s="16" t="s">
        <v>112</v>
      </c>
      <c r="D193" s="16" t="s">
        <v>71</v>
      </c>
      <c r="E193" s="16" t="s">
        <v>25</v>
      </c>
      <c r="F193" s="16" t="s">
        <v>14</v>
      </c>
      <c r="G193" s="17" t="str">
        <f t="shared" si="10"/>
        <v xml:space="preserve"> cent soixante huit mille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2:20" x14ac:dyDescent="0.35">
      <c r="B194" s="16">
        <v>169000</v>
      </c>
      <c r="C194" s="16" t="s">
        <v>112</v>
      </c>
      <c r="D194" s="16" t="s">
        <v>71</v>
      </c>
      <c r="E194" s="16" t="s">
        <v>28</v>
      </c>
      <c r="F194" s="16" t="s">
        <v>14</v>
      </c>
      <c r="G194" s="17" t="str">
        <f t="shared" si="10"/>
        <v xml:space="preserve"> cent soixante neuf mille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2:20" x14ac:dyDescent="0.35">
      <c r="B195" s="16">
        <v>170000</v>
      </c>
      <c r="C195" s="16" t="s">
        <v>112</v>
      </c>
      <c r="D195" s="16" t="s">
        <v>71</v>
      </c>
      <c r="E195" s="16" t="s">
        <v>39</v>
      </c>
      <c r="F195" s="16" t="s">
        <v>14</v>
      </c>
      <c r="G195" s="17" t="str">
        <f t="shared" si="10"/>
        <v xml:space="preserve"> cent soixante dix mille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2:20" x14ac:dyDescent="0.35">
      <c r="B196" s="16">
        <v>171000</v>
      </c>
      <c r="C196" s="16" t="s">
        <v>112</v>
      </c>
      <c r="D196" s="16" t="s">
        <v>71</v>
      </c>
      <c r="E196" s="16" t="s">
        <v>82</v>
      </c>
      <c r="F196" s="16" t="s">
        <v>14</v>
      </c>
      <c r="G196" s="17" t="str">
        <f t="shared" si="10"/>
        <v xml:space="preserve"> cent soixante et onze mille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2:20" x14ac:dyDescent="0.35">
      <c r="B197" s="16">
        <v>172000</v>
      </c>
      <c r="C197" s="16" t="s">
        <v>112</v>
      </c>
      <c r="D197" s="16" t="s">
        <v>71</v>
      </c>
      <c r="E197" s="16" t="s">
        <v>44</v>
      </c>
      <c r="F197" s="16" t="s">
        <v>14</v>
      </c>
      <c r="G197" s="17" t="str">
        <f t="shared" si="10"/>
        <v xml:space="preserve"> cent soixante douze mille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pans="2:20" x14ac:dyDescent="0.35">
      <c r="B198" s="16">
        <v>173000</v>
      </c>
      <c r="C198" s="16" t="s">
        <v>112</v>
      </c>
      <c r="D198" s="16" t="s">
        <v>71</v>
      </c>
      <c r="E198" s="16" t="s">
        <v>46</v>
      </c>
      <c r="F198" s="16" t="s">
        <v>14</v>
      </c>
      <c r="G198" s="17" t="str">
        <f t="shared" si="10"/>
        <v xml:space="preserve"> cent soixante treize mille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2:20" x14ac:dyDescent="0.35">
      <c r="B199" s="16">
        <v>174000</v>
      </c>
      <c r="C199" s="16" t="s">
        <v>112</v>
      </c>
      <c r="D199" s="16" t="s">
        <v>71</v>
      </c>
      <c r="E199" s="16" t="s">
        <v>48</v>
      </c>
      <c r="F199" s="16" t="s">
        <v>14</v>
      </c>
      <c r="G199" s="17" t="str">
        <f t="shared" si="10"/>
        <v xml:space="preserve"> cent soixante quatorze mille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pans="2:20" x14ac:dyDescent="0.35">
      <c r="B200" s="16">
        <v>175000</v>
      </c>
      <c r="C200" s="16" t="s">
        <v>112</v>
      </c>
      <c r="D200" s="16" t="s">
        <v>71</v>
      </c>
      <c r="E200" s="16" t="s">
        <v>13</v>
      </c>
      <c r="F200" s="16" t="s">
        <v>14</v>
      </c>
      <c r="G200" s="17" t="str">
        <f t="shared" si="10"/>
        <v xml:space="preserve"> cent soixante quinze mille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2:20" x14ac:dyDescent="0.35">
      <c r="B201" s="16">
        <v>176000</v>
      </c>
      <c r="C201" s="16" t="s">
        <v>112</v>
      </c>
      <c r="D201" s="16" t="s">
        <v>71</v>
      </c>
      <c r="E201" s="16" t="s">
        <v>19</v>
      </c>
      <c r="F201" s="16" t="s">
        <v>14</v>
      </c>
      <c r="G201" s="17" t="str">
        <f t="shared" si="10"/>
        <v xml:space="preserve"> cent soixante seize mille</v>
      </c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2:20" x14ac:dyDescent="0.35">
      <c r="B202" s="16">
        <v>177000</v>
      </c>
      <c r="C202" s="16" t="s">
        <v>112</v>
      </c>
      <c r="D202" s="16" t="s">
        <v>71</v>
      </c>
      <c r="E202" s="16" t="s">
        <v>23</v>
      </c>
      <c r="F202" s="16" t="s">
        <v>14</v>
      </c>
      <c r="G202" s="17" t="str">
        <f t="shared" si="10"/>
        <v xml:space="preserve"> cent soixante dix sept mille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2:20" x14ac:dyDescent="0.35">
      <c r="B203" s="16">
        <v>178000</v>
      </c>
      <c r="C203" s="16" t="s">
        <v>112</v>
      </c>
      <c r="D203" s="16" t="s">
        <v>71</v>
      </c>
      <c r="E203" s="16" t="s">
        <v>27</v>
      </c>
      <c r="F203" s="16" t="s">
        <v>14</v>
      </c>
      <c r="G203" s="17" t="str">
        <f t="shared" si="10"/>
        <v xml:space="preserve"> cent soixante dix huit mille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spans="2:20" x14ac:dyDescent="0.35">
      <c r="B204" s="16">
        <v>179000</v>
      </c>
      <c r="C204" s="16" t="s">
        <v>112</v>
      </c>
      <c r="D204" s="16" t="s">
        <v>71</v>
      </c>
      <c r="E204" s="16" t="s">
        <v>30</v>
      </c>
      <c r="F204" s="16" t="s">
        <v>14</v>
      </c>
      <c r="G204" s="17" t="str">
        <f t="shared" si="10"/>
        <v xml:space="preserve"> cent soixante dix neuf mille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2:20" x14ac:dyDescent="0.35">
      <c r="B205" s="16">
        <v>180000</v>
      </c>
      <c r="C205" s="16" t="s">
        <v>112</v>
      </c>
      <c r="D205" s="16" t="s">
        <v>92</v>
      </c>
      <c r="E205" s="16"/>
      <c r="F205" s="16" t="s">
        <v>14</v>
      </c>
      <c r="G205" s="17" t="str">
        <f t="shared" si="10"/>
        <v xml:space="preserve"> cent quatre vingt mille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2:20" x14ac:dyDescent="0.35">
      <c r="B206" s="16">
        <v>181000</v>
      </c>
      <c r="C206" s="16" t="s">
        <v>112</v>
      </c>
      <c r="D206" s="16" t="s">
        <v>92</v>
      </c>
      <c r="E206" s="16" t="s">
        <v>32</v>
      </c>
      <c r="F206" s="16" t="s">
        <v>14</v>
      </c>
      <c r="G206" s="17" t="str">
        <f t="shared" si="10"/>
        <v xml:space="preserve"> cent quatre vingt et un mille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spans="2:20" x14ac:dyDescent="0.35">
      <c r="B207" s="16">
        <v>182000</v>
      </c>
      <c r="C207" s="16" t="s">
        <v>112</v>
      </c>
      <c r="D207" s="16" t="s">
        <v>92</v>
      </c>
      <c r="E207" s="16" t="s">
        <v>16</v>
      </c>
      <c r="F207" s="16" t="s">
        <v>14</v>
      </c>
      <c r="G207" s="17" t="str">
        <f t="shared" si="10"/>
        <v xml:space="preserve"> cent quatre vingt deux mille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spans="2:20" x14ac:dyDescent="0.35">
      <c r="B208" s="16">
        <v>183000</v>
      </c>
      <c r="C208" s="16" t="s">
        <v>112</v>
      </c>
      <c r="D208" s="16" t="s">
        <v>92</v>
      </c>
      <c r="E208" s="16" t="s">
        <v>20</v>
      </c>
      <c r="F208" s="16" t="s">
        <v>14</v>
      </c>
      <c r="G208" s="17" t="str">
        <f t="shared" si="10"/>
        <v xml:space="preserve"> cent quatre vingt trois mille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spans="2:20" x14ac:dyDescent="0.35">
      <c r="B209" s="16">
        <v>184000</v>
      </c>
      <c r="C209" s="16" t="s">
        <v>112</v>
      </c>
      <c r="D209" s="16" t="s">
        <v>92</v>
      </c>
      <c r="E209" s="16" t="s">
        <v>24</v>
      </c>
      <c r="F209" s="16" t="s">
        <v>14</v>
      </c>
      <c r="G209" s="17" t="str">
        <f t="shared" si="10"/>
        <v xml:space="preserve"> cent quatre vingt quatre mille</v>
      </c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spans="2:20" x14ac:dyDescent="0.35">
      <c r="B210" s="16">
        <v>185000</v>
      </c>
      <c r="C210" s="16" t="s">
        <v>112</v>
      </c>
      <c r="D210" s="16" t="s">
        <v>92</v>
      </c>
      <c r="E210" s="16" t="s">
        <v>11</v>
      </c>
      <c r="F210" s="16" t="s">
        <v>14</v>
      </c>
      <c r="G210" s="17" t="str">
        <f t="shared" si="10"/>
        <v xml:space="preserve"> cent quatre vingt cinq mille</v>
      </c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spans="2:20" x14ac:dyDescent="0.35">
      <c r="B211" s="16">
        <v>186000</v>
      </c>
      <c r="C211" s="16" t="s">
        <v>112</v>
      </c>
      <c r="D211" s="16" t="s">
        <v>92</v>
      </c>
      <c r="E211" s="16" t="s">
        <v>116</v>
      </c>
      <c r="F211" s="16" t="s">
        <v>14</v>
      </c>
      <c r="G211" s="17" t="str">
        <f t="shared" si="10"/>
        <v xml:space="preserve"> cent quatre vingt six mille</v>
      </c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spans="2:20" x14ac:dyDescent="0.35">
      <c r="B212" s="16">
        <v>187000</v>
      </c>
      <c r="C212" s="16" t="s">
        <v>112</v>
      </c>
      <c r="D212" s="16" t="s">
        <v>92</v>
      </c>
      <c r="E212" s="16" t="s">
        <v>21</v>
      </c>
      <c r="F212" s="16" t="s">
        <v>14</v>
      </c>
      <c r="G212" s="17" t="str">
        <f t="shared" si="10"/>
        <v xml:space="preserve"> cent quatre vingt sept mille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spans="2:20" x14ac:dyDescent="0.35">
      <c r="B213" s="16">
        <v>188000</v>
      </c>
      <c r="C213" s="16" t="s">
        <v>112</v>
      </c>
      <c r="D213" s="16" t="s">
        <v>92</v>
      </c>
      <c r="E213" s="16" t="s">
        <v>25</v>
      </c>
      <c r="F213" s="16" t="s">
        <v>14</v>
      </c>
      <c r="G213" s="17" t="str">
        <f t="shared" si="10"/>
        <v xml:space="preserve"> cent quatre vingt huit mille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spans="2:20" x14ac:dyDescent="0.35">
      <c r="B214" s="16">
        <v>189000</v>
      </c>
      <c r="C214" s="16" t="s">
        <v>112</v>
      </c>
      <c r="D214" s="16" t="s">
        <v>92</v>
      </c>
      <c r="E214" s="16" t="s">
        <v>28</v>
      </c>
      <c r="F214" s="16" t="s">
        <v>14</v>
      </c>
      <c r="G214" s="17" t="str">
        <f t="shared" si="10"/>
        <v xml:space="preserve"> cent quatre vingt neuf mille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spans="2:20" x14ac:dyDescent="0.35">
      <c r="B215" s="16">
        <v>190000</v>
      </c>
      <c r="C215" s="16" t="s">
        <v>112</v>
      </c>
      <c r="D215" s="16" t="s">
        <v>92</v>
      </c>
      <c r="E215" s="16" t="s">
        <v>39</v>
      </c>
      <c r="F215" s="16" t="s">
        <v>14</v>
      </c>
      <c r="G215" s="17" t="str">
        <f t="shared" si="10"/>
        <v xml:space="preserve"> cent quatre vingt dix mille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spans="2:20" x14ac:dyDescent="0.35">
      <c r="B216" s="16">
        <v>191000</v>
      </c>
      <c r="C216" s="16" t="s">
        <v>112</v>
      </c>
      <c r="D216" s="16" t="s">
        <v>92</v>
      </c>
      <c r="E216" s="16" t="s">
        <v>42</v>
      </c>
      <c r="F216" s="16" t="s">
        <v>14</v>
      </c>
      <c r="G216" s="17" t="str">
        <f t="shared" si="10"/>
        <v xml:space="preserve"> cent quatre vingt onze mille</v>
      </c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spans="2:20" x14ac:dyDescent="0.35">
      <c r="B217" s="16">
        <v>192000</v>
      </c>
      <c r="C217" s="16" t="s">
        <v>112</v>
      </c>
      <c r="D217" s="16" t="s">
        <v>92</v>
      </c>
      <c r="E217" s="16" t="s">
        <v>44</v>
      </c>
      <c r="F217" s="16" t="s">
        <v>14</v>
      </c>
      <c r="G217" s="17" t="str">
        <f t="shared" si="10"/>
        <v xml:space="preserve"> cent quatre vingt douze mille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spans="2:20" x14ac:dyDescent="0.35">
      <c r="B218" s="16">
        <v>193000</v>
      </c>
      <c r="C218" s="16" t="s">
        <v>112</v>
      </c>
      <c r="D218" s="16" t="s">
        <v>92</v>
      </c>
      <c r="E218" s="16" t="s">
        <v>46</v>
      </c>
      <c r="F218" s="16" t="s">
        <v>14</v>
      </c>
      <c r="G218" s="17" t="str">
        <f t="shared" si="10"/>
        <v xml:space="preserve"> cent quatre vingt treize mille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spans="2:20" x14ac:dyDescent="0.35">
      <c r="B219" s="16">
        <v>194000</v>
      </c>
      <c r="C219" s="16" t="s">
        <v>112</v>
      </c>
      <c r="D219" s="16" t="s">
        <v>92</v>
      </c>
      <c r="E219" s="16" t="s">
        <v>48</v>
      </c>
      <c r="F219" s="16" t="s">
        <v>14</v>
      </c>
      <c r="G219" s="17" t="str">
        <f t="shared" si="10"/>
        <v xml:space="preserve"> cent quatre vingt quatorze mille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spans="2:20" x14ac:dyDescent="0.35">
      <c r="B220" s="16">
        <v>195000</v>
      </c>
      <c r="C220" s="16" t="s">
        <v>112</v>
      </c>
      <c r="D220" s="16" t="s">
        <v>92</v>
      </c>
      <c r="E220" s="16" t="s">
        <v>13</v>
      </c>
      <c r="F220" s="16" t="s">
        <v>14</v>
      </c>
      <c r="G220" s="17" t="str">
        <f t="shared" si="10"/>
        <v xml:space="preserve"> cent quatre vingt quinze mille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spans="2:20" x14ac:dyDescent="0.35">
      <c r="B221" s="16">
        <v>196000</v>
      </c>
      <c r="C221" s="16" t="s">
        <v>112</v>
      </c>
      <c r="D221" s="16" t="s">
        <v>92</v>
      </c>
      <c r="E221" s="16" t="s">
        <v>19</v>
      </c>
      <c r="F221" s="16" t="s">
        <v>14</v>
      </c>
      <c r="G221" s="17" t="str">
        <f t="shared" si="10"/>
        <v xml:space="preserve"> cent quatre vingt seize mille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spans="2:20" x14ac:dyDescent="0.35">
      <c r="B222" s="16">
        <v>197000</v>
      </c>
      <c r="C222" s="16" t="s">
        <v>112</v>
      </c>
      <c r="D222" s="16" t="s">
        <v>92</v>
      </c>
      <c r="E222" s="16" t="s">
        <v>23</v>
      </c>
      <c r="F222" s="16" t="s">
        <v>14</v>
      </c>
      <c r="G222" s="17" t="str">
        <f t="shared" si="10"/>
        <v xml:space="preserve"> cent quatre vingt dix sept mille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spans="2:20" x14ac:dyDescent="0.35">
      <c r="B223" s="16">
        <v>198000</v>
      </c>
      <c r="C223" s="16" t="s">
        <v>112</v>
      </c>
      <c r="D223" s="16" t="s">
        <v>92</v>
      </c>
      <c r="E223" s="16" t="s">
        <v>27</v>
      </c>
      <c r="F223" s="16" t="s">
        <v>14</v>
      </c>
      <c r="G223" s="17" t="str">
        <f t="shared" si="10"/>
        <v xml:space="preserve"> cent quatre vingt dix huit mille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spans="2:20" x14ac:dyDescent="0.35">
      <c r="B224" s="16">
        <v>199000</v>
      </c>
      <c r="C224" s="16" t="s">
        <v>112</v>
      </c>
      <c r="D224" s="16" t="s">
        <v>92</v>
      </c>
      <c r="E224" s="16" t="s">
        <v>30</v>
      </c>
      <c r="F224" s="16" t="s">
        <v>14</v>
      </c>
      <c r="G224" s="17" t="str">
        <f t="shared" si="10"/>
        <v xml:space="preserve"> cent quatre vingt dix neuf mille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spans="2:20" x14ac:dyDescent="0.35">
      <c r="B225" s="16">
        <v>200000</v>
      </c>
      <c r="C225" s="16" t="s">
        <v>117</v>
      </c>
      <c r="D225" s="16"/>
      <c r="E225" s="16"/>
      <c r="F225" s="16" t="s">
        <v>14</v>
      </c>
      <c r="G225" s="17" t="str">
        <f t="shared" si="10"/>
        <v xml:space="preserve"> deux cent mille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spans="2:20" x14ac:dyDescent="0.35">
      <c r="B226" s="16">
        <v>201000</v>
      </c>
      <c r="C226" s="16" t="s">
        <v>117</v>
      </c>
      <c r="D226" s="16" t="s">
        <v>114</v>
      </c>
      <c r="E226" s="16"/>
      <c r="F226" s="16" t="s">
        <v>14</v>
      </c>
      <c r="G226" s="17" t="str">
        <f t="shared" si="10"/>
        <v xml:space="preserve"> deux cent un mille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spans="2:20" x14ac:dyDescent="0.35">
      <c r="B227" s="16">
        <v>202000</v>
      </c>
      <c r="C227" s="16" t="s">
        <v>117</v>
      </c>
      <c r="D227" s="16" t="s">
        <v>16</v>
      </c>
      <c r="E227" s="16"/>
      <c r="F227" s="16" t="s">
        <v>14</v>
      </c>
      <c r="G227" s="17" t="str">
        <f t="shared" si="10"/>
        <v xml:space="preserve"> deux cent deux mille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spans="2:20" x14ac:dyDescent="0.35">
      <c r="B228" s="16">
        <v>203000</v>
      </c>
      <c r="C228" s="16" t="s">
        <v>117</v>
      </c>
      <c r="D228" s="16" t="s">
        <v>20</v>
      </c>
      <c r="E228" s="16"/>
      <c r="F228" s="16" t="s">
        <v>14</v>
      </c>
      <c r="G228" s="17" t="str">
        <f t="shared" si="10"/>
        <v xml:space="preserve"> deux cent trois mille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spans="2:20" x14ac:dyDescent="0.35">
      <c r="B229" s="16">
        <v>204000</v>
      </c>
      <c r="C229" s="16" t="s">
        <v>117</v>
      </c>
      <c r="D229" s="16" t="s">
        <v>24</v>
      </c>
      <c r="E229" s="16"/>
      <c r="F229" s="16" t="s">
        <v>14</v>
      </c>
      <c r="G229" s="17" t="str">
        <f t="shared" si="10"/>
        <v xml:space="preserve"> deux cent quatre mille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spans="2:20" x14ac:dyDescent="0.35">
      <c r="B230" s="16">
        <v>205000</v>
      </c>
      <c r="C230" s="16" t="s">
        <v>117</v>
      </c>
      <c r="D230" s="16" t="s">
        <v>11</v>
      </c>
      <c r="E230" s="16"/>
      <c r="F230" s="16" t="s">
        <v>14</v>
      </c>
      <c r="G230" s="17" t="str">
        <f t="shared" si="10"/>
        <v xml:space="preserve"> deux cent cinq mille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spans="2:20" x14ac:dyDescent="0.35">
      <c r="B231" s="16">
        <v>206000</v>
      </c>
      <c r="C231" s="16" t="s">
        <v>117</v>
      </c>
      <c r="D231" s="16" t="s">
        <v>17</v>
      </c>
      <c r="E231" s="16"/>
      <c r="F231" s="16" t="s">
        <v>14</v>
      </c>
      <c r="G231" s="17" t="str">
        <f t="shared" si="10"/>
        <v xml:space="preserve"> deux cent six  mille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spans="2:20" x14ac:dyDescent="0.35">
      <c r="B232" s="16">
        <v>207000</v>
      </c>
      <c r="C232" s="16" t="s">
        <v>117</v>
      </c>
      <c r="D232" s="16" t="s">
        <v>21</v>
      </c>
      <c r="E232" s="16"/>
      <c r="F232" s="16" t="s">
        <v>14</v>
      </c>
      <c r="G232" s="17" t="str">
        <f t="shared" si="10"/>
        <v xml:space="preserve"> deux cent sept mille</v>
      </c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2:20" x14ac:dyDescent="0.35">
      <c r="B233" s="16">
        <v>208000</v>
      </c>
      <c r="C233" s="16" t="s">
        <v>117</v>
      </c>
      <c r="D233" s="16" t="s">
        <v>25</v>
      </c>
      <c r="E233" s="16"/>
      <c r="F233" s="16" t="s">
        <v>14</v>
      </c>
      <c r="G233" s="17" t="str">
        <f t="shared" si="10"/>
        <v xml:space="preserve"> deux cent huit mille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spans="2:20" x14ac:dyDescent="0.35">
      <c r="B234" s="16">
        <v>209000</v>
      </c>
      <c r="C234" s="16" t="s">
        <v>117</v>
      </c>
      <c r="D234" s="16" t="s">
        <v>28</v>
      </c>
      <c r="E234" s="16"/>
      <c r="F234" s="16" t="s">
        <v>14</v>
      </c>
      <c r="G234" s="17" t="str">
        <f t="shared" si="10"/>
        <v xml:space="preserve"> deux cent neuf mille</v>
      </c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spans="2:20" x14ac:dyDescent="0.35">
      <c r="B235" s="16">
        <v>210000</v>
      </c>
      <c r="C235" s="16" t="s">
        <v>117</v>
      </c>
      <c r="D235" s="16" t="s">
        <v>39</v>
      </c>
      <c r="E235" s="16"/>
      <c r="F235" s="16" t="s">
        <v>14</v>
      </c>
      <c r="G235" s="17" t="str">
        <f t="shared" si="10"/>
        <v xml:space="preserve"> deux cent dix mille</v>
      </c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spans="2:20" x14ac:dyDescent="0.35">
      <c r="B236" s="16">
        <v>211000</v>
      </c>
      <c r="C236" s="16" t="s">
        <v>117</v>
      </c>
      <c r="D236" s="16" t="s">
        <v>42</v>
      </c>
      <c r="E236" s="16"/>
      <c r="F236" s="16" t="s">
        <v>14</v>
      </c>
      <c r="G236" s="17" t="str">
        <f t="shared" si="10"/>
        <v xml:space="preserve"> deux cent onze mille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spans="2:20" x14ac:dyDescent="0.35">
      <c r="B237" s="16">
        <v>212000</v>
      </c>
      <c r="C237" s="16" t="s">
        <v>117</v>
      </c>
      <c r="D237" s="16" t="s">
        <v>44</v>
      </c>
      <c r="E237" s="16"/>
      <c r="F237" s="16" t="s">
        <v>14</v>
      </c>
      <c r="G237" s="17" t="str">
        <f t="shared" si="10"/>
        <v xml:space="preserve"> deux cent douze mille</v>
      </c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spans="2:20" x14ac:dyDescent="0.35">
      <c r="B238" s="16">
        <v>213000</v>
      </c>
      <c r="C238" s="16" t="s">
        <v>117</v>
      </c>
      <c r="D238" s="16" t="s">
        <v>46</v>
      </c>
      <c r="E238" s="16"/>
      <c r="F238" s="16" t="s">
        <v>14</v>
      </c>
      <c r="G238" s="17" t="str">
        <f t="shared" si="10"/>
        <v xml:space="preserve"> deux cent treize mille</v>
      </c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2:20" x14ac:dyDescent="0.35">
      <c r="B239" s="16">
        <v>214000</v>
      </c>
      <c r="C239" s="16" t="s">
        <v>117</v>
      </c>
      <c r="D239" s="16" t="s">
        <v>48</v>
      </c>
      <c r="E239" s="16"/>
      <c r="F239" s="16" t="s">
        <v>14</v>
      </c>
      <c r="G239" s="17" t="str">
        <f t="shared" si="10"/>
        <v xml:space="preserve"> deux cent quatorze mille</v>
      </c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spans="2:20" x14ac:dyDescent="0.35">
      <c r="B240" s="16">
        <v>215000</v>
      </c>
      <c r="C240" s="16" t="s">
        <v>117</v>
      </c>
      <c r="D240" s="16" t="s">
        <v>13</v>
      </c>
      <c r="E240" s="16"/>
      <c r="F240" s="16" t="s">
        <v>14</v>
      </c>
      <c r="G240" s="17" t="str">
        <f t="shared" si="10"/>
        <v xml:space="preserve"> deux cent quinze mille</v>
      </c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spans="2:20" x14ac:dyDescent="0.35">
      <c r="B241" s="16">
        <v>216000</v>
      </c>
      <c r="C241" s="16" t="s">
        <v>117</v>
      </c>
      <c r="D241" s="16" t="s">
        <v>19</v>
      </c>
      <c r="E241" s="16"/>
      <c r="F241" s="16" t="s">
        <v>14</v>
      </c>
      <c r="G241" s="17" t="str">
        <f t="shared" si="10"/>
        <v xml:space="preserve"> deux cent seize mille</v>
      </c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spans="2:20" x14ac:dyDescent="0.35">
      <c r="B242" s="16">
        <v>217000</v>
      </c>
      <c r="C242" s="16" t="s">
        <v>117</v>
      </c>
      <c r="D242" s="16" t="s">
        <v>23</v>
      </c>
      <c r="E242" s="16"/>
      <c r="F242" s="16" t="s">
        <v>14</v>
      </c>
      <c r="G242" s="17" t="str">
        <f t="shared" si="10"/>
        <v xml:space="preserve"> deux cent dix sept mille</v>
      </c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spans="2:20" x14ac:dyDescent="0.35">
      <c r="B243" s="16">
        <v>218000</v>
      </c>
      <c r="C243" s="16" t="s">
        <v>117</v>
      </c>
      <c r="D243" s="16" t="s">
        <v>27</v>
      </c>
      <c r="E243" s="16"/>
      <c r="F243" s="16" t="s">
        <v>14</v>
      </c>
      <c r="G243" s="17" t="str">
        <f t="shared" si="10"/>
        <v xml:space="preserve"> deux cent dix huit mille</v>
      </c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spans="2:20" x14ac:dyDescent="0.35">
      <c r="B244" s="16">
        <v>219000</v>
      </c>
      <c r="C244" s="16" t="s">
        <v>117</v>
      </c>
      <c r="D244" s="16" t="s">
        <v>30</v>
      </c>
      <c r="E244" s="16"/>
      <c r="F244" s="16" t="s">
        <v>14</v>
      </c>
      <c r="G244" s="17" t="str">
        <f t="shared" si="10"/>
        <v xml:space="preserve"> deux cent dix neuf mille</v>
      </c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spans="2:20" x14ac:dyDescent="0.35">
      <c r="B245" s="16">
        <v>220000</v>
      </c>
      <c r="C245" s="16" t="s">
        <v>117</v>
      </c>
      <c r="D245" s="16" t="s">
        <v>10</v>
      </c>
      <c r="E245" s="16"/>
      <c r="F245" s="16" t="s">
        <v>14</v>
      </c>
      <c r="G245" s="17" t="str">
        <f t="shared" si="10"/>
        <v xml:space="preserve"> deux cent vingt mille</v>
      </c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spans="2:20" x14ac:dyDescent="0.35">
      <c r="B246" s="16">
        <v>221000</v>
      </c>
      <c r="C246" s="16" t="s">
        <v>117</v>
      </c>
      <c r="D246" s="16" t="s">
        <v>115</v>
      </c>
      <c r="E246" s="16" t="s">
        <v>32</v>
      </c>
      <c r="F246" s="16" t="s">
        <v>14</v>
      </c>
      <c r="G246" s="17" t="str">
        <f t="shared" si="10"/>
        <v xml:space="preserve"> deux cent vingt  et un mille</v>
      </c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spans="2:20" x14ac:dyDescent="0.35">
      <c r="B247" s="16">
        <v>222000</v>
      </c>
      <c r="C247" s="16" t="s">
        <v>117</v>
      </c>
      <c r="D247" s="16" t="s">
        <v>10</v>
      </c>
      <c r="E247" s="16" t="s">
        <v>16</v>
      </c>
      <c r="F247" s="16" t="s">
        <v>14</v>
      </c>
      <c r="G247" s="17" t="str">
        <f t="shared" si="10"/>
        <v xml:space="preserve"> deux cent vingt deux mille</v>
      </c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2:20" x14ac:dyDescent="0.35">
      <c r="B248" s="16">
        <v>223000</v>
      </c>
      <c r="C248" s="16" t="s">
        <v>117</v>
      </c>
      <c r="D248" s="16" t="s">
        <v>10</v>
      </c>
      <c r="E248" s="16" t="s">
        <v>20</v>
      </c>
      <c r="F248" s="16" t="s">
        <v>14</v>
      </c>
      <c r="G248" s="17" t="str">
        <f t="shared" si="10"/>
        <v xml:space="preserve"> deux cent vingt trois mille</v>
      </c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spans="2:20" x14ac:dyDescent="0.35">
      <c r="B249" s="16">
        <v>224000</v>
      </c>
      <c r="C249" s="16" t="s">
        <v>117</v>
      </c>
      <c r="D249" s="16" t="s">
        <v>10</v>
      </c>
      <c r="E249" s="16" t="s">
        <v>24</v>
      </c>
      <c r="F249" s="16" t="s">
        <v>14</v>
      </c>
      <c r="G249" s="17" t="str">
        <f t="shared" si="10"/>
        <v xml:space="preserve"> deux cent vingt quatre mille</v>
      </c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2:20" x14ac:dyDescent="0.35">
      <c r="B250" s="16">
        <v>225000</v>
      </c>
      <c r="C250" s="16" t="s">
        <v>117</v>
      </c>
      <c r="D250" s="16" t="s">
        <v>10</v>
      </c>
      <c r="E250" s="16" t="s">
        <v>11</v>
      </c>
      <c r="F250" s="16" t="s">
        <v>14</v>
      </c>
      <c r="G250" s="17" t="str">
        <f t="shared" si="10"/>
        <v xml:space="preserve"> deux cent vingt cinq mille</v>
      </c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spans="2:20" x14ac:dyDescent="0.35">
      <c r="B251" s="16">
        <v>226000</v>
      </c>
      <c r="C251" s="16" t="s">
        <v>117</v>
      </c>
      <c r="D251" s="16" t="s">
        <v>10</v>
      </c>
      <c r="E251" s="16" t="s">
        <v>116</v>
      </c>
      <c r="F251" s="16" t="s">
        <v>14</v>
      </c>
      <c r="G251" s="17" t="str">
        <f t="shared" si="10"/>
        <v xml:space="preserve"> deux cent vingt six mille</v>
      </c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spans="2:20" x14ac:dyDescent="0.35">
      <c r="B252" s="16">
        <v>227000</v>
      </c>
      <c r="C252" s="16" t="s">
        <v>117</v>
      </c>
      <c r="D252" s="16" t="s">
        <v>10</v>
      </c>
      <c r="E252" s="16" t="s">
        <v>21</v>
      </c>
      <c r="F252" s="16" t="s">
        <v>14</v>
      </c>
      <c r="G252" s="17" t="str">
        <f t="shared" si="10"/>
        <v xml:space="preserve"> deux cent vingt sept mille</v>
      </c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spans="2:20" x14ac:dyDescent="0.35">
      <c r="B253" s="16">
        <v>228000</v>
      </c>
      <c r="C253" s="16" t="s">
        <v>117</v>
      </c>
      <c r="D253" s="16" t="s">
        <v>10</v>
      </c>
      <c r="E253" s="16" t="s">
        <v>25</v>
      </c>
      <c r="F253" s="16" t="s">
        <v>14</v>
      </c>
      <c r="G253" s="17" t="str">
        <f t="shared" si="10"/>
        <v xml:space="preserve"> deux cent vingt huit mille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spans="2:20" x14ac:dyDescent="0.35">
      <c r="B254" s="16">
        <v>229000</v>
      </c>
      <c r="C254" s="16" t="s">
        <v>117</v>
      </c>
      <c r="D254" s="16" t="s">
        <v>10</v>
      </c>
      <c r="E254" s="16" t="s">
        <v>28</v>
      </c>
      <c r="F254" s="16" t="s">
        <v>14</v>
      </c>
      <c r="G254" s="17" t="str">
        <f t="shared" si="10"/>
        <v xml:space="preserve"> deux cent vingt neuf mille</v>
      </c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2:20" x14ac:dyDescent="0.35">
      <c r="B255" s="16">
        <v>230000</v>
      </c>
      <c r="C255" s="16" t="s">
        <v>117</v>
      </c>
      <c r="D255" s="16" t="s">
        <v>31</v>
      </c>
      <c r="E255" s="16"/>
      <c r="F255" s="16" t="s">
        <v>14</v>
      </c>
      <c r="G255" s="17" t="str">
        <f t="shared" ref="G255:G318" si="11">CONCATENATE(C255,D255,E255,F255)</f>
        <v xml:space="preserve"> deux cent trente mille</v>
      </c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2:20" x14ac:dyDescent="0.35">
      <c r="B256" s="16">
        <v>231000</v>
      </c>
      <c r="C256" s="16" t="s">
        <v>117</v>
      </c>
      <c r="D256" s="16" t="s">
        <v>31</v>
      </c>
      <c r="E256" s="16" t="s">
        <v>32</v>
      </c>
      <c r="F256" s="16" t="s">
        <v>14</v>
      </c>
      <c r="G256" s="17" t="str">
        <f t="shared" si="11"/>
        <v xml:space="preserve"> deux cent trente et un mille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spans="2:20" x14ac:dyDescent="0.35">
      <c r="B257" s="16">
        <v>232000</v>
      </c>
      <c r="C257" s="16" t="s">
        <v>117</v>
      </c>
      <c r="D257" s="16" t="s">
        <v>31</v>
      </c>
      <c r="E257" s="16" t="s">
        <v>16</v>
      </c>
      <c r="F257" s="16" t="s">
        <v>14</v>
      </c>
      <c r="G257" s="17" t="str">
        <f t="shared" si="11"/>
        <v xml:space="preserve"> deux cent trente deux mille</v>
      </c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spans="2:20" x14ac:dyDescent="0.35">
      <c r="B258" s="16">
        <v>233000</v>
      </c>
      <c r="C258" s="16" t="s">
        <v>117</v>
      </c>
      <c r="D258" s="16" t="s">
        <v>31</v>
      </c>
      <c r="E258" s="16" t="s">
        <v>20</v>
      </c>
      <c r="F258" s="16" t="s">
        <v>14</v>
      </c>
      <c r="G258" s="17" t="str">
        <f t="shared" si="11"/>
        <v xml:space="preserve"> deux cent trente trois mille</v>
      </c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spans="2:20" x14ac:dyDescent="0.35">
      <c r="B259" s="16">
        <v>234000</v>
      </c>
      <c r="C259" s="16" t="s">
        <v>117</v>
      </c>
      <c r="D259" s="16" t="s">
        <v>31</v>
      </c>
      <c r="E259" s="16" t="s">
        <v>24</v>
      </c>
      <c r="F259" s="16" t="s">
        <v>14</v>
      </c>
      <c r="G259" s="17" t="str">
        <f t="shared" si="11"/>
        <v xml:space="preserve"> deux cent trente quatre mille</v>
      </c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spans="2:20" x14ac:dyDescent="0.35">
      <c r="B260" s="16">
        <v>235000</v>
      </c>
      <c r="C260" s="16" t="s">
        <v>117</v>
      </c>
      <c r="D260" s="16" t="s">
        <v>31</v>
      </c>
      <c r="E260" s="16" t="s">
        <v>11</v>
      </c>
      <c r="F260" s="16" t="s">
        <v>14</v>
      </c>
      <c r="G260" s="17" t="str">
        <f t="shared" si="11"/>
        <v xml:space="preserve"> deux cent trente cinq mille</v>
      </c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spans="2:20" x14ac:dyDescent="0.35">
      <c r="B261" s="16">
        <v>236000</v>
      </c>
      <c r="C261" s="16" t="s">
        <v>117</v>
      </c>
      <c r="D261" s="16" t="s">
        <v>31</v>
      </c>
      <c r="E261" s="16" t="s">
        <v>116</v>
      </c>
      <c r="F261" s="16" t="s">
        <v>14</v>
      </c>
      <c r="G261" s="17" t="str">
        <f t="shared" si="11"/>
        <v xml:space="preserve"> deux cent trente six mille</v>
      </c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spans="2:20" x14ac:dyDescent="0.35">
      <c r="B262" s="16">
        <v>237000</v>
      </c>
      <c r="C262" s="16" t="s">
        <v>117</v>
      </c>
      <c r="D262" s="16" t="s">
        <v>31</v>
      </c>
      <c r="E262" s="16" t="s">
        <v>21</v>
      </c>
      <c r="F262" s="16" t="s">
        <v>14</v>
      </c>
      <c r="G262" s="17" t="str">
        <f t="shared" si="11"/>
        <v xml:space="preserve"> deux cent trente sept mille</v>
      </c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spans="2:20" x14ac:dyDescent="0.35">
      <c r="B263" s="16">
        <v>238000</v>
      </c>
      <c r="C263" s="16" t="s">
        <v>117</v>
      </c>
      <c r="D263" s="16" t="s">
        <v>31</v>
      </c>
      <c r="E263" s="16" t="s">
        <v>25</v>
      </c>
      <c r="F263" s="16" t="s">
        <v>14</v>
      </c>
      <c r="G263" s="17" t="str">
        <f t="shared" si="11"/>
        <v xml:space="preserve"> deux cent trente huit mille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spans="2:20" x14ac:dyDescent="0.35">
      <c r="B264" s="16">
        <v>239000</v>
      </c>
      <c r="C264" s="16" t="s">
        <v>117</v>
      </c>
      <c r="D264" s="16" t="s">
        <v>31</v>
      </c>
      <c r="E264" s="16" t="s">
        <v>28</v>
      </c>
      <c r="F264" s="16" t="s">
        <v>14</v>
      </c>
      <c r="G264" s="17" t="str">
        <f t="shared" si="11"/>
        <v xml:space="preserve"> deux cent trente neuf mille</v>
      </c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spans="2:20" x14ac:dyDescent="0.35">
      <c r="B265" s="16">
        <v>240000</v>
      </c>
      <c r="C265" s="16" t="s">
        <v>117</v>
      </c>
      <c r="D265" s="16" t="s">
        <v>51</v>
      </c>
      <c r="E265" s="16"/>
      <c r="F265" s="16" t="s">
        <v>14</v>
      </c>
      <c r="G265" s="17" t="str">
        <f t="shared" si="11"/>
        <v xml:space="preserve"> deux cent quarante mille</v>
      </c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spans="2:20" x14ac:dyDescent="0.35">
      <c r="B266" s="16">
        <v>241000</v>
      </c>
      <c r="C266" s="16" t="s">
        <v>117</v>
      </c>
      <c r="D266" s="16" t="s">
        <v>51</v>
      </c>
      <c r="E266" s="16" t="s">
        <v>32</v>
      </c>
      <c r="F266" s="16" t="s">
        <v>14</v>
      </c>
      <c r="G266" s="17" t="str">
        <f t="shared" si="11"/>
        <v xml:space="preserve"> deux cent quarante et un mille</v>
      </c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spans="2:20" x14ac:dyDescent="0.35">
      <c r="B267" s="16">
        <v>242000</v>
      </c>
      <c r="C267" s="16" t="s">
        <v>117</v>
      </c>
      <c r="D267" s="16" t="s">
        <v>51</v>
      </c>
      <c r="E267" s="16" t="s">
        <v>16</v>
      </c>
      <c r="F267" s="16" t="s">
        <v>14</v>
      </c>
      <c r="G267" s="17" t="str">
        <f t="shared" si="11"/>
        <v xml:space="preserve"> deux cent quarante deux mille</v>
      </c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spans="2:20" x14ac:dyDescent="0.35">
      <c r="B268" s="16">
        <v>243000</v>
      </c>
      <c r="C268" s="16" t="s">
        <v>117</v>
      </c>
      <c r="D268" s="16" t="s">
        <v>51</v>
      </c>
      <c r="E268" s="16" t="s">
        <v>20</v>
      </c>
      <c r="F268" s="16" t="s">
        <v>14</v>
      </c>
      <c r="G268" s="17" t="str">
        <f t="shared" si="11"/>
        <v xml:space="preserve"> deux cent quarante trois mille</v>
      </c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spans="2:20" x14ac:dyDescent="0.35">
      <c r="B269" s="16">
        <v>244000</v>
      </c>
      <c r="C269" s="16" t="s">
        <v>117</v>
      </c>
      <c r="D269" s="16" t="s">
        <v>51</v>
      </c>
      <c r="E269" s="16" t="s">
        <v>24</v>
      </c>
      <c r="F269" s="16" t="s">
        <v>14</v>
      </c>
      <c r="G269" s="17" t="str">
        <f t="shared" si="11"/>
        <v xml:space="preserve"> deux cent quarante quatre mille</v>
      </c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spans="2:20" x14ac:dyDescent="0.35">
      <c r="B270" s="16">
        <v>245000</v>
      </c>
      <c r="C270" s="16" t="s">
        <v>117</v>
      </c>
      <c r="D270" s="16" t="s">
        <v>51</v>
      </c>
      <c r="E270" s="16" t="s">
        <v>11</v>
      </c>
      <c r="F270" s="16" t="s">
        <v>14</v>
      </c>
      <c r="G270" s="17" t="str">
        <f t="shared" si="11"/>
        <v xml:space="preserve"> deux cent quarante cinq mille</v>
      </c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spans="2:20" x14ac:dyDescent="0.35">
      <c r="B271" s="16">
        <v>246000</v>
      </c>
      <c r="C271" s="16" t="s">
        <v>117</v>
      </c>
      <c r="D271" s="16" t="s">
        <v>51</v>
      </c>
      <c r="E271" s="16" t="s">
        <v>116</v>
      </c>
      <c r="F271" s="16" t="s">
        <v>14</v>
      </c>
      <c r="G271" s="17" t="str">
        <f t="shared" si="11"/>
        <v xml:space="preserve"> deux cent quarante six mille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spans="2:20" x14ac:dyDescent="0.35">
      <c r="B272" s="16">
        <v>247000</v>
      </c>
      <c r="C272" s="16" t="s">
        <v>117</v>
      </c>
      <c r="D272" s="16" t="s">
        <v>51</v>
      </c>
      <c r="E272" s="16" t="s">
        <v>21</v>
      </c>
      <c r="F272" s="16" t="s">
        <v>14</v>
      </c>
      <c r="G272" s="17" t="str">
        <f t="shared" si="11"/>
        <v xml:space="preserve"> deux cent quarante sept mille</v>
      </c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spans="2:20" x14ac:dyDescent="0.35">
      <c r="B273" s="16">
        <v>248000</v>
      </c>
      <c r="C273" s="16" t="s">
        <v>117</v>
      </c>
      <c r="D273" s="16" t="s">
        <v>51</v>
      </c>
      <c r="E273" s="16" t="s">
        <v>25</v>
      </c>
      <c r="F273" s="16" t="s">
        <v>14</v>
      </c>
      <c r="G273" s="17" t="str">
        <f t="shared" si="11"/>
        <v xml:space="preserve"> deux cent quarante huit mille</v>
      </c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spans="2:20" x14ac:dyDescent="0.35">
      <c r="B274" s="16">
        <v>249000</v>
      </c>
      <c r="C274" s="16" t="s">
        <v>117</v>
      </c>
      <c r="D274" s="16" t="s">
        <v>51</v>
      </c>
      <c r="E274" s="16" t="s">
        <v>28</v>
      </c>
      <c r="F274" s="16" t="s">
        <v>14</v>
      </c>
      <c r="G274" s="17" t="str">
        <f t="shared" si="11"/>
        <v xml:space="preserve"> deux cent quarante neuf mille</v>
      </c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spans="2:20" x14ac:dyDescent="0.35">
      <c r="B275" s="16">
        <v>250000</v>
      </c>
      <c r="C275" s="16" t="s">
        <v>117</v>
      </c>
      <c r="D275" s="16" t="s">
        <v>61</v>
      </c>
      <c r="E275" s="16"/>
      <c r="F275" s="16" t="s">
        <v>14</v>
      </c>
      <c r="G275" s="17" t="str">
        <f t="shared" si="11"/>
        <v xml:space="preserve"> deux cent cinquante mille</v>
      </c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spans="2:20" x14ac:dyDescent="0.35">
      <c r="B276" s="16">
        <v>251000</v>
      </c>
      <c r="C276" s="16" t="s">
        <v>117</v>
      </c>
      <c r="D276" s="16" t="s">
        <v>61</v>
      </c>
      <c r="E276" s="16" t="s">
        <v>32</v>
      </c>
      <c r="F276" s="16" t="s">
        <v>14</v>
      </c>
      <c r="G276" s="17" t="str">
        <f t="shared" si="11"/>
        <v xml:space="preserve"> deux cent cinquante et un mille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spans="2:20" x14ac:dyDescent="0.35">
      <c r="B277" s="16">
        <v>252000</v>
      </c>
      <c r="C277" s="16" t="s">
        <v>117</v>
      </c>
      <c r="D277" s="16" t="s">
        <v>61</v>
      </c>
      <c r="E277" s="16" t="s">
        <v>16</v>
      </c>
      <c r="F277" s="16" t="s">
        <v>14</v>
      </c>
      <c r="G277" s="17" t="str">
        <f t="shared" si="11"/>
        <v xml:space="preserve"> deux cent cinquante deux mille</v>
      </c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spans="2:20" x14ac:dyDescent="0.35">
      <c r="B278" s="16">
        <v>253000</v>
      </c>
      <c r="C278" s="16" t="s">
        <v>117</v>
      </c>
      <c r="D278" s="16" t="s">
        <v>61</v>
      </c>
      <c r="E278" s="16" t="s">
        <v>20</v>
      </c>
      <c r="F278" s="16" t="s">
        <v>14</v>
      </c>
      <c r="G278" s="17" t="str">
        <f t="shared" si="11"/>
        <v xml:space="preserve"> deux cent cinquante trois mille</v>
      </c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spans="2:20" x14ac:dyDescent="0.35">
      <c r="B279" s="16">
        <v>254000</v>
      </c>
      <c r="C279" s="16" t="s">
        <v>117</v>
      </c>
      <c r="D279" s="16" t="s">
        <v>61</v>
      </c>
      <c r="E279" s="16" t="s">
        <v>24</v>
      </c>
      <c r="F279" s="16" t="s">
        <v>14</v>
      </c>
      <c r="G279" s="17" t="str">
        <f t="shared" si="11"/>
        <v xml:space="preserve"> deux cent cinquante quatre mille</v>
      </c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spans="2:20" x14ac:dyDescent="0.35">
      <c r="B280" s="16">
        <v>255000</v>
      </c>
      <c r="C280" s="16" t="s">
        <v>117</v>
      </c>
      <c r="D280" s="16" t="s">
        <v>61</v>
      </c>
      <c r="E280" s="16" t="s">
        <v>11</v>
      </c>
      <c r="F280" s="16" t="s">
        <v>14</v>
      </c>
      <c r="G280" s="17" t="str">
        <f t="shared" si="11"/>
        <v xml:space="preserve"> deux cent cinquante cinq mille</v>
      </c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spans="2:20" x14ac:dyDescent="0.35">
      <c r="B281" s="16">
        <v>256000</v>
      </c>
      <c r="C281" s="16" t="s">
        <v>117</v>
      </c>
      <c r="D281" s="16" t="s">
        <v>61</v>
      </c>
      <c r="E281" s="16" t="s">
        <v>116</v>
      </c>
      <c r="F281" s="16" t="s">
        <v>14</v>
      </c>
      <c r="G281" s="17" t="str">
        <f t="shared" si="11"/>
        <v xml:space="preserve"> deux cent cinquante six mille</v>
      </c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spans="2:20" x14ac:dyDescent="0.35">
      <c r="B282" s="16">
        <v>257000</v>
      </c>
      <c r="C282" s="16" t="s">
        <v>117</v>
      </c>
      <c r="D282" s="16" t="s">
        <v>61</v>
      </c>
      <c r="E282" s="16" t="s">
        <v>21</v>
      </c>
      <c r="F282" s="16" t="s">
        <v>14</v>
      </c>
      <c r="G282" s="17" t="str">
        <f t="shared" si="11"/>
        <v xml:space="preserve"> deux cent cinquante sept mille</v>
      </c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spans="2:20" x14ac:dyDescent="0.35">
      <c r="B283" s="16">
        <v>258000</v>
      </c>
      <c r="C283" s="16" t="s">
        <v>117</v>
      </c>
      <c r="D283" s="16" t="s">
        <v>61</v>
      </c>
      <c r="E283" s="16" t="s">
        <v>25</v>
      </c>
      <c r="F283" s="16" t="s">
        <v>14</v>
      </c>
      <c r="G283" s="17" t="str">
        <f t="shared" si="11"/>
        <v xml:space="preserve"> deux cent cinquante huit mille</v>
      </c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spans="2:20" x14ac:dyDescent="0.35">
      <c r="B284" s="16">
        <v>259000</v>
      </c>
      <c r="C284" s="16" t="s">
        <v>117</v>
      </c>
      <c r="D284" s="16" t="s">
        <v>61</v>
      </c>
      <c r="E284" s="16" t="s">
        <v>28</v>
      </c>
      <c r="F284" s="16" t="s">
        <v>14</v>
      </c>
      <c r="G284" s="17" t="str">
        <f t="shared" si="11"/>
        <v xml:space="preserve"> deux cent cinquante neuf mille</v>
      </c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spans="2:20" x14ac:dyDescent="0.35">
      <c r="B285" s="16">
        <v>260000</v>
      </c>
      <c r="C285" s="16" t="s">
        <v>117</v>
      </c>
      <c r="D285" s="16" t="s">
        <v>71</v>
      </c>
      <c r="E285" s="16"/>
      <c r="F285" s="16" t="s">
        <v>14</v>
      </c>
      <c r="G285" s="17" t="str">
        <f t="shared" si="11"/>
        <v xml:space="preserve"> deux cent soixante mille</v>
      </c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spans="2:20" x14ac:dyDescent="0.35">
      <c r="B286" s="16">
        <v>261000</v>
      </c>
      <c r="C286" s="16" t="s">
        <v>117</v>
      </c>
      <c r="D286" s="16" t="s">
        <v>71</v>
      </c>
      <c r="E286" s="16" t="s">
        <v>32</v>
      </c>
      <c r="F286" s="16" t="s">
        <v>14</v>
      </c>
      <c r="G286" s="17" t="str">
        <f t="shared" si="11"/>
        <v xml:space="preserve"> deux cent soixante et un mille</v>
      </c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spans="2:20" x14ac:dyDescent="0.35">
      <c r="B287" s="16">
        <v>262000</v>
      </c>
      <c r="C287" s="16" t="s">
        <v>117</v>
      </c>
      <c r="D287" s="16" t="s">
        <v>71</v>
      </c>
      <c r="E287" s="16" t="s">
        <v>16</v>
      </c>
      <c r="F287" s="16" t="s">
        <v>14</v>
      </c>
      <c r="G287" s="17" t="str">
        <f t="shared" si="11"/>
        <v xml:space="preserve"> deux cent soixante deux mille</v>
      </c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spans="2:20" x14ac:dyDescent="0.35">
      <c r="B288" s="16">
        <v>263000</v>
      </c>
      <c r="C288" s="16" t="s">
        <v>117</v>
      </c>
      <c r="D288" s="16" t="s">
        <v>71</v>
      </c>
      <c r="E288" s="16" t="s">
        <v>20</v>
      </c>
      <c r="F288" s="16" t="s">
        <v>14</v>
      </c>
      <c r="G288" s="17" t="str">
        <f t="shared" si="11"/>
        <v xml:space="preserve"> deux cent soixante trois mille</v>
      </c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spans="2:20" x14ac:dyDescent="0.35">
      <c r="B289" s="16">
        <v>264000</v>
      </c>
      <c r="C289" s="16" t="s">
        <v>117</v>
      </c>
      <c r="D289" s="16" t="s">
        <v>71</v>
      </c>
      <c r="E289" s="16" t="s">
        <v>24</v>
      </c>
      <c r="F289" s="16" t="s">
        <v>14</v>
      </c>
      <c r="G289" s="17" t="str">
        <f t="shared" si="11"/>
        <v xml:space="preserve"> deux cent soixante quatre mille</v>
      </c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spans="2:20" x14ac:dyDescent="0.35">
      <c r="B290" s="16">
        <v>265000</v>
      </c>
      <c r="C290" s="16" t="s">
        <v>117</v>
      </c>
      <c r="D290" s="16" t="s">
        <v>71</v>
      </c>
      <c r="E290" s="16" t="s">
        <v>11</v>
      </c>
      <c r="F290" s="16" t="s">
        <v>14</v>
      </c>
      <c r="G290" s="17" t="str">
        <f t="shared" si="11"/>
        <v xml:space="preserve"> deux cent soixante cinq mille</v>
      </c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spans="2:20" x14ac:dyDescent="0.35">
      <c r="B291" s="16">
        <v>266000</v>
      </c>
      <c r="C291" s="16" t="s">
        <v>117</v>
      </c>
      <c r="D291" s="16" t="s">
        <v>71</v>
      </c>
      <c r="E291" s="16" t="s">
        <v>116</v>
      </c>
      <c r="F291" s="16" t="s">
        <v>14</v>
      </c>
      <c r="G291" s="17" t="str">
        <f t="shared" si="11"/>
        <v xml:space="preserve"> deux cent soixante six mille</v>
      </c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spans="2:20" x14ac:dyDescent="0.35">
      <c r="B292" s="16">
        <v>267000</v>
      </c>
      <c r="C292" s="16" t="s">
        <v>117</v>
      </c>
      <c r="D292" s="16" t="s">
        <v>71</v>
      </c>
      <c r="E292" s="16" t="s">
        <v>21</v>
      </c>
      <c r="F292" s="16" t="s">
        <v>14</v>
      </c>
      <c r="G292" s="17" t="str">
        <f t="shared" si="11"/>
        <v xml:space="preserve"> deux cent soixante sept mille</v>
      </c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spans="2:20" x14ac:dyDescent="0.35">
      <c r="B293" s="16">
        <v>268000</v>
      </c>
      <c r="C293" s="16" t="s">
        <v>117</v>
      </c>
      <c r="D293" s="16" t="s">
        <v>71</v>
      </c>
      <c r="E293" s="16" t="s">
        <v>25</v>
      </c>
      <c r="F293" s="16" t="s">
        <v>14</v>
      </c>
      <c r="G293" s="17" t="str">
        <f t="shared" si="11"/>
        <v xml:space="preserve"> deux cent soixante huit mille</v>
      </c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spans="2:20" x14ac:dyDescent="0.35">
      <c r="B294" s="16">
        <v>269000</v>
      </c>
      <c r="C294" s="16" t="s">
        <v>117</v>
      </c>
      <c r="D294" s="16" t="s">
        <v>71</v>
      </c>
      <c r="E294" s="16" t="s">
        <v>28</v>
      </c>
      <c r="F294" s="16" t="s">
        <v>14</v>
      </c>
      <c r="G294" s="17" t="str">
        <f t="shared" si="11"/>
        <v xml:space="preserve"> deux cent soixante neuf mille</v>
      </c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spans="2:20" x14ac:dyDescent="0.35">
      <c r="B295" s="16">
        <v>270000</v>
      </c>
      <c r="C295" s="16" t="s">
        <v>117</v>
      </c>
      <c r="D295" s="16" t="s">
        <v>71</v>
      </c>
      <c r="E295" s="16" t="s">
        <v>39</v>
      </c>
      <c r="F295" s="16" t="s">
        <v>14</v>
      </c>
      <c r="G295" s="17" t="str">
        <f t="shared" si="11"/>
        <v xml:space="preserve"> deux cent soixante dix mille</v>
      </c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spans="2:20" x14ac:dyDescent="0.35">
      <c r="B296" s="16">
        <v>271000</v>
      </c>
      <c r="C296" s="16" t="s">
        <v>117</v>
      </c>
      <c r="D296" s="16" t="s">
        <v>71</v>
      </c>
      <c r="E296" s="16" t="s">
        <v>82</v>
      </c>
      <c r="F296" s="16" t="s">
        <v>14</v>
      </c>
      <c r="G296" s="17" t="str">
        <f t="shared" si="11"/>
        <v xml:space="preserve"> deux cent soixante et onze mille</v>
      </c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spans="2:20" x14ac:dyDescent="0.35">
      <c r="B297" s="16">
        <v>272000</v>
      </c>
      <c r="C297" s="16" t="s">
        <v>117</v>
      </c>
      <c r="D297" s="16" t="s">
        <v>71</v>
      </c>
      <c r="E297" s="16" t="s">
        <v>44</v>
      </c>
      <c r="F297" s="16" t="s">
        <v>14</v>
      </c>
      <c r="G297" s="17" t="str">
        <f t="shared" si="11"/>
        <v xml:space="preserve"> deux cent soixante douze mille</v>
      </c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spans="2:20" x14ac:dyDescent="0.35">
      <c r="B298" s="16">
        <v>273000</v>
      </c>
      <c r="C298" s="16" t="s">
        <v>117</v>
      </c>
      <c r="D298" s="16" t="s">
        <v>71</v>
      </c>
      <c r="E298" s="16" t="s">
        <v>46</v>
      </c>
      <c r="F298" s="16" t="s">
        <v>14</v>
      </c>
      <c r="G298" s="17" t="str">
        <f t="shared" si="11"/>
        <v xml:space="preserve"> deux cent soixante treize mille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spans="2:20" x14ac:dyDescent="0.35">
      <c r="B299" s="16">
        <v>274000</v>
      </c>
      <c r="C299" s="16" t="s">
        <v>117</v>
      </c>
      <c r="D299" s="16" t="s">
        <v>71</v>
      </c>
      <c r="E299" s="16" t="s">
        <v>48</v>
      </c>
      <c r="F299" s="16" t="s">
        <v>14</v>
      </c>
      <c r="G299" s="17" t="str">
        <f t="shared" si="11"/>
        <v xml:space="preserve"> deux cent soixante quatorze mille</v>
      </c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spans="2:20" x14ac:dyDescent="0.35">
      <c r="B300" s="16">
        <v>275000</v>
      </c>
      <c r="C300" s="16" t="s">
        <v>117</v>
      </c>
      <c r="D300" s="16" t="s">
        <v>71</v>
      </c>
      <c r="E300" s="16" t="s">
        <v>13</v>
      </c>
      <c r="F300" s="16" t="s">
        <v>14</v>
      </c>
      <c r="G300" s="17" t="str">
        <f t="shared" si="11"/>
        <v xml:space="preserve"> deux cent soixante quinze mille</v>
      </c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spans="2:20" x14ac:dyDescent="0.35">
      <c r="B301" s="16">
        <v>276000</v>
      </c>
      <c r="C301" s="16" t="s">
        <v>117</v>
      </c>
      <c r="D301" s="16" t="s">
        <v>71</v>
      </c>
      <c r="E301" s="16" t="s">
        <v>19</v>
      </c>
      <c r="F301" s="16" t="s">
        <v>14</v>
      </c>
      <c r="G301" s="17" t="str">
        <f t="shared" si="11"/>
        <v xml:space="preserve"> deux cent soixante seize mille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spans="2:20" x14ac:dyDescent="0.35">
      <c r="B302" s="16">
        <v>277000</v>
      </c>
      <c r="C302" s="16" t="s">
        <v>117</v>
      </c>
      <c r="D302" s="16" t="s">
        <v>71</v>
      </c>
      <c r="E302" s="16" t="s">
        <v>23</v>
      </c>
      <c r="F302" s="16" t="s">
        <v>14</v>
      </c>
      <c r="G302" s="17" t="str">
        <f t="shared" si="11"/>
        <v xml:space="preserve"> deux cent soixante dix sept mille</v>
      </c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spans="2:20" x14ac:dyDescent="0.35">
      <c r="B303" s="16">
        <v>278000</v>
      </c>
      <c r="C303" s="16" t="s">
        <v>117</v>
      </c>
      <c r="D303" s="16" t="s">
        <v>71</v>
      </c>
      <c r="E303" s="16" t="s">
        <v>27</v>
      </c>
      <c r="F303" s="16" t="s">
        <v>14</v>
      </c>
      <c r="G303" s="17" t="str">
        <f t="shared" si="11"/>
        <v xml:space="preserve"> deux cent soixante dix huit mille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spans="2:20" x14ac:dyDescent="0.35">
      <c r="B304" s="16">
        <v>279000</v>
      </c>
      <c r="C304" s="16" t="s">
        <v>117</v>
      </c>
      <c r="D304" s="16" t="s">
        <v>71</v>
      </c>
      <c r="E304" s="16" t="s">
        <v>30</v>
      </c>
      <c r="F304" s="16" t="s">
        <v>14</v>
      </c>
      <c r="G304" s="17" t="str">
        <f t="shared" si="11"/>
        <v xml:space="preserve"> deux cent soixante dix neuf mille</v>
      </c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spans="2:20" x14ac:dyDescent="0.35">
      <c r="B305" s="16">
        <v>280000</v>
      </c>
      <c r="C305" s="16" t="s">
        <v>117</v>
      </c>
      <c r="D305" s="16" t="s">
        <v>92</v>
      </c>
      <c r="E305" s="16"/>
      <c r="F305" s="16" t="s">
        <v>14</v>
      </c>
      <c r="G305" s="17" t="str">
        <f t="shared" si="11"/>
        <v xml:space="preserve"> deux cent quatre vingt mille</v>
      </c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spans="2:20" x14ac:dyDescent="0.35">
      <c r="B306" s="16">
        <v>281000</v>
      </c>
      <c r="C306" s="16" t="s">
        <v>117</v>
      </c>
      <c r="D306" s="16" t="s">
        <v>92</v>
      </c>
      <c r="E306" s="16" t="s">
        <v>32</v>
      </c>
      <c r="F306" s="16" t="s">
        <v>14</v>
      </c>
      <c r="G306" s="17" t="str">
        <f t="shared" si="11"/>
        <v xml:space="preserve"> deux cent quatre vingt et un mille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spans="2:20" x14ac:dyDescent="0.35">
      <c r="B307" s="16">
        <v>282000</v>
      </c>
      <c r="C307" s="16" t="s">
        <v>117</v>
      </c>
      <c r="D307" s="16" t="s">
        <v>92</v>
      </c>
      <c r="E307" s="16" t="s">
        <v>16</v>
      </c>
      <c r="F307" s="16" t="s">
        <v>14</v>
      </c>
      <c r="G307" s="17" t="str">
        <f t="shared" si="11"/>
        <v xml:space="preserve"> deux cent quatre vingt deux mille</v>
      </c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spans="2:20" x14ac:dyDescent="0.35">
      <c r="B308" s="16">
        <v>283000</v>
      </c>
      <c r="C308" s="16" t="s">
        <v>117</v>
      </c>
      <c r="D308" s="16" t="s">
        <v>92</v>
      </c>
      <c r="E308" s="16" t="s">
        <v>20</v>
      </c>
      <c r="F308" s="16" t="s">
        <v>14</v>
      </c>
      <c r="G308" s="17" t="str">
        <f t="shared" si="11"/>
        <v xml:space="preserve"> deux cent quatre vingt trois mille</v>
      </c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spans="2:20" x14ac:dyDescent="0.35">
      <c r="B309" s="16">
        <v>284000</v>
      </c>
      <c r="C309" s="16" t="s">
        <v>117</v>
      </c>
      <c r="D309" s="16" t="s">
        <v>92</v>
      </c>
      <c r="E309" s="16" t="s">
        <v>24</v>
      </c>
      <c r="F309" s="16" t="s">
        <v>14</v>
      </c>
      <c r="G309" s="17" t="str">
        <f t="shared" si="11"/>
        <v xml:space="preserve"> deux cent quatre vingt quatre mille</v>
      </c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spans="2:20" x14ac:dyDescent="0.35">
      <c r="B310" s="16">
        <v>285000</v>
      </c>
      <c r="C310" s="16" t="s">
        <v>117</v>
      </c>
      <c r="D310" s="16" t="s">
        <v>92</v>
      </c>
      <c r="E310" s="16" t="s">
        <v>11</v>
      </c>
      <c r="F310" s="16" t="s">
        <v>14</v>
      </c>
      <c r="G310" s="17" t="str">
        <f t="shared" si="11"/>
        <v xml:space="preserve"> deux cent quatre vingt cinq mille</v>
      </c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spans="2:20" x14ac:dyDescent="0.35">
      <c r="B311" s="16">
        <v>286000</v>
      </c>
      <c r="C311" s="16" t="s">
        <v>117</v>
      </c>
      <c r="D311" s="16" t="s">
        <v>92</v>
      </c>
      <c r="E311" s="16" t="s">
        <v>116</v>
      </c>
      <c r="F311" s="16" t="s">
        <v>14</v>
      </c>
      <c r="G311" s="17" t="str">
        <f t="shared" si="11"/>
        <v xml:space="preserve"> deux cent quatre vingt six mille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spans="2:20" x14ac:dyDescent="0.35">
      <c r="B312" s="16">
        <v>287000</v>
      </c>
      <c r="C312" s="16" t="s">
        <v>117</v>
      </c>
      <c r="D312" s="16" t="s">
        <v>92</v>
      </c>
      <c r="E312" s="16" t="s">
        <v>21</v>
      </c>
      <c r="F312" s="16" t="s">
        <v>14</v>
      </c>
      <c r="G312" s="17" t="str">
        <f t="shared" si="11"/>
        <v xml:space="preserve"> deux cent quatre vingt sept mille</v>
      </c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spans="2:20" x14ac:dyDescent="0.35">
      <c r="B313" s="16">
        <v>288000</v>
      </c>
      <c r="C313" s="16" t="s">
        <v>117</v>
      </c>
      <c r="D313" s="16" t="s">
        <v>92</v>
      </c>
      <c r="E313" s="16" t="s">
        <v>25</v>
      </c>
      <c r="F313" s="16" t="s">
        <v>14</v>
      </c>
      <c r="G313" s="17" t="str">
        <f t="shared" si="11"/>
        <v xml:space="preserve"> deux cent quatre vingt huit mille</v>
      </c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spans="2:20" x14ac:dyDescent="0.35">
      <c r="B314" s="16">
        <v>289000</v>
      </c>
      <c r="C314" s="16" t="s">
        <v>117</v>
      </c>
      <c r="D314" s="16" t="s">
        <v>92</v>
      </c>
      <c r="E314" s="16" t="s">
        <v>28</v>
      </c>
      <c r="F314" s="16" t="s">
        <v>14</v>
      </c>
      <c r="G314" s="17" t="str">
        <f t="shared" si="11"/>
        <v xml:space="preserve"> deux cent quatre vingt neuf mille</v>
      </c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spans="2:20" x14ac:dyDescent="0.35">
      <c r="B315" s="16">
        <v>290000</v>
      </c>
      <c r="C315" s="16" t="s">
        <v>117</v>
      </c>
      <c r="D315" s="16" t="s">
        <v>92</v>
      </c>
      <c r="E315" s="16" t="s">
        <v>39</v>
      </c>
      <c r="F315" s="16" t="s">
        <v>14</v>
      </c>
      <c r="G315" s="17" t="str">
        <f t="shared" si="11"/>
        <v xml:space="preserve"> deux cent quatre vingt dix mille</v>
      </c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spans="2:20" x14ac:dyDescent="0.35">
      <c r="B316" s="16">
        <v>291000</v>
      </c>
      <c r="C316" s="16" t="s">
        <v>117</v>
      </c>
      <c r="D316" s="16" t="s">
        <v>92</v>
      </c>
      <c r="E316" s="16" t="s">
        <v>42</v>
      </c>
      <c r="F316" s="16" t="s">
        <v>14</v>
      </c>
      <c r="G316" s="17" t="str">
        <f t="shared" si="11"/>
        <v xml:space="preserve"> deux cent quatre vingt onze mille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spans="2:20" x14ac:dyDescent="0.35">
      <c r="B317" s="16">
        <v>292000</v>
      </c>
      <c r="C317" s="16" t="s">
        <v>117</v>
      </c>
      <c r="D317" s="16" t="s">
        <v>92</v>
      </c>
      <c r="E317" s="16" t="s">
        <v>44</v>
      </c>
      <c r="F317" s="16" t="s">
        <v>14</v>
      </c>
      <c r="G317" s="17" t="str">
        <f t="shared" si="11"/>
        <v xml:space="preserve"> deux cent quatre vingt douze mille</v>
      </c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spans="2:20" x14ac:dyDescent="0.35">
      <c r="B318" s="16">
        <v>293000</v>
      </c>
      <c r="C318" s="16" t="s">
        <v>117</v>
      </c>
      <c r="D318" s="16" t="s">
        <v>92</v>
      </c>
      <c r="E318" s="16" t="s">
        <v>46</v>
      </c>
      <c r="F318" s="16" t="s">
        <v>14</v>
      </c>
      <c r="G318" s="17" t="str">
        <f t="shared" si="11"/>
        <v xml:space="preserve"> deux cent quatre vingt treize mille</v>
      </c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spans="2:20" x14ac:dyDescent="0.35">
      <c r="B319" s="16">
        <v>294000</v>
      </c>
      <c r="C319" s="16" t="s">
        <v>117</v>
      </c>
      <c r="D319" s="16" t="s">
        <v>92</v>
      </c>
      <c r="E319" s="16" t="s">
        <v>48</v>
      </c>
      <c r="F319" s="16" t="s">
        <v>14</v>
      </c>
      <c r="G319" s="17" t="str">
        <f t="shared" ref="G319:G382" si="12">CONCATENATE(C319,D319,E319,F319)</f>
        <v xml:space="preserve"> deux cent quatre vingt quatorze mille</v>
      </c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spans="2:20" x14ac:dyDescent="0.35">
      <c r="B320" s="16">
        <v>295000</v>
      </c>
      <c r="C320" s="16" t="s">
        <v>117</v>
      </c>
      <c r="D320" s="16" t="s">
        <v>92</v>
      </c>
      <c r="E320" s="16" t="s">
        <v>13</v>
      </c>
      <c r="F320" s="16" t="s">
        <v>14</v>
      </c>
      <c r="G320" s="17" t="str">
        <f t="shared" si="12"/>
        <v xml:space="preserve"> deux cent quatre vingt quinze mille</v>
      </c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spans="2:20" x14ac:dyDescent="0.35">
      <c r="B321" s="16">
        <v>296000</v>
      </c>
      <c r="C321" s="16" t="s">
        <v>117</v>
      </c>
      <c r="D321" s="16" t="s">
        <v>92</v>
      </c>
      <c r="E321" s="16" t="s">
        <v>19</v>
      </c>
      <c r="F321" s="16" t="s">
        <v>14</v>
      </c>
      <c r="G321" s="17" t="str">
        <f t="shared" si="12"/>
        <v xml:space="preserve"> deux cent quatre vingt seize mille</v>
      </c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spans="2:20" x14ac:dyDescent="0.35">
      <c r="B322" s="16">
        <v>297000</v>
      </c>
      <c r="C322" s="16" t="s">
        <v>117</v>
      </c>
      <c r="D322" s="16" t="s">
        <v>92</v>
      </c>
      <c r="E322" s="16" t="s">
        <v>23</v>
      </c>
      <c r="F322" s="16" t="s">
        <v>14</v>
      </c>
      <c r="G322" s="17" t="str">
        <f t="shared" si="12"/>
        <v xml:space="preserve"> deux cent quatre vingt dix sept mille</v>
      </c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spans="2:20" x14ac:dyDescent="0.35">
      <c r="B323" s="16">
        <v>298000</v>
      </c>
      <c r="C323" s="16" t="s">
        <v>117</v>
      </c>
      <c r="D323" s="16" t="s">
        <v>92</v>
      </c>
      <c r="E323" s="16" t="s">
        <v>27</v>
      </c>
      <c r="F323" s="16" t="s">
        <v>14</v>
      </c>
      <c r="G323" s="17" t="str">
        <f t="shared" si="12"/>
        <v xml:space="preserve"> deux cent quatre vingt dix huit mille</v>
      </c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spans="2:20" x14ac:dyDescent="0.35">
      <c r="B324" s="16">
        <v>299000</v>
      </c>
      <c r="C324" s="16" t="s">
        <v>117</v>
      </c>
      <c r="D324" s="16" t="s">
        <v>92</v>
      </c>
      <c r="E324" s="16" t="s">
        <v>30</v>
      </c>
      <c r="F324" s="16" t="s">
        <v>14</v>
      </c>
      <c r="G324" s="17" t="str">
        <f t="shared" si="12"/>
        <v xml:space="preserve"> deux cent quatre vingt dix neuf mille</v>
      </c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spans="2:20" x14ac:dyDescent="0.35">
      <c r="B325" s="16">
        <v>300000</v>
      </c>
      <c r="C325" s="16" t="s">
        <v>118</v>
      </c>
      <c r="D325" s="16"/>
      <c r="E325" s="16"/>
      <c r="F325" s="16" t="s">
        <v>14</v>
      </c>
      <c r="G325" s="17" t="str">
        <f t="shared" si="12"/>
        <v xml:space="preserve"> trois cent mille</v>
      </c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spans="2:20" x14ac:dyDescent="0.35">
      <c r="B326" s="16">
        <v>301000</v>
      </c>
      <c r="C326" s="16" t="s">
        <v>118</v>
      </c>
      <c r="D326" s="16" t="s">
        <v>114</v>
      </c>
      <c r="E326" s="16"/>
      <c r="F326" s="16" t="s">
        <v>14</v>
      </c>
      <c r="G326" s="17" t="str">
        <f t="shared" si="12"/>
        <v xml:space="preserve"> trois cent un mille</v>
      </c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spans="2:20" x14ac:dyDescent="0.35">
      <c r="B327" s="16">
        <v>302000</v>
      </c>
      <c r="C327" s="16" t="s">
        <v>118</v>
      </c>
      <c r="D327" s="16" t="s">
        <v>16</v>
      </c>
      <c r="E327" s="16"/>
      <c r="F327" s="16" t="s">
        <v>14</v>
      </c>
      <c r="G327" s="17" t="str">
        <f t="shared" si="12"/>
        <v xml:space="preserve"> trois cent deux mille</v>
      </c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spans="2:20" x14ac:dyDescent="0.35">
      <c r="B328" s="16">
        <v>303000</v>
      </c>
      <c r="C328" s="16" t="s">
        <v>118</v>
      </c>
      <c r="D328" s="16" t="s">
        <v>20</v>
      </c>
      <c r="E328" s="16"/>
      <c r="F328" s="16" t="s">
        <v>14</v>
      </c>
      <c r="G328" s="17" t="str">
        <f t="shared" si="12"/>
        <v xml:space="preserve"> trois cent trois mille</v>
      </c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spans="2:20" x14ac:dyDescent="0.35">
      <c r="B329" s="16">
        <v>304000</v>
      </c>
      <c r="C329" s="16" t="s">
        <v>118</v>
      </c>
      <c r="D329" s="16" t="s">
        <v>24</v>
      </c>
      <c r="E329" s="16"/>
      <c r="F329" s="16" t="s">
        <v>14</v>
      </c>
      <c r="G329" s="17" t="str">
        <f t="shared" si="12"/>
        <v xml:space="preserve"> trois cent quatre mille</v>
      </c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spans="2:20" x14ac:dyDescent="0.35">
      <c r="B330" s="16">
        <v>305000</v>
      </c>
      <c r="C330" s="16" t="s">
        <v>118</v>
      </c>
      <c r="D330" s="16" t="s">
        <v>11</v>
      </c>
      <c r="E330" s="16"/>
      <c r="F330" s="16" t="s">
        <v>14</v>
      </c>
      <c r="G330" s="17" t="str">
        <f t="shared" si="12"/>
        <v xml:space="preserve"> trois cent cinq mille</v>
      </c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spans="2:20" x14ac:dyDescent="0.35">
      <c r="B331" s="16">
        <v>306000</v>
      </c>
      <c r="C331" s="16" t="s">
        <v>118</v>
      </c>
      <c r="D331" s="16" t="s">
        <v>17</v>
      </c>
      <c r="E331" s="16"/>
      <c r="F331" s="16" t="s">
        <v>14</v>
      </c>
      <c r="G331" s="17" t="str">
        <f t="shared" si="12"/>
        <v xml:space="preserve"> trois cent six  mille</v>
      </c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spans="2:20" x14ac:dyDescent="0.35">
      <c r="B332" s="16">
        <v>307000</v>
      </c>
      <c r="C332" s="16" t="s">
        <v>118</v>
      </c>
      <c r="D332" s="16" t="s">
        <v>21</v>
      </c>
      <c r="E332" s="16"/>
      <c r="F332" s="16" t="s">
        <v>14</v>
      </c>
      <c r="G332" s="17" t="str">
        <f t="shared" si="12"/>
        <v xml:space="preserve"> trois cent sept mille</v>
      </c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spans="2:20" x14ac:dyDescent="0.35">
      <c r="B333" s="16">
        <v>308000</v>
      </c>
      <c r="C333" s="16" t="s">
        <v>118</v>
      </c>
      <c r="D333" s="16" t="s">
        <v>25</v>
      </c>
      <c r="E333" s="16"/>
      <c r="F333" s="16" t="s">
        <v>14</v>
      </c>
      <c r="G333" s="17" t="str">
        <f t="shared" si="12"/>
        <v xml:space="preserve"> trois cent huit mille</v>
      </c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spans="2:20" x14ac:dyDescent="0.35">
      <c r="B334" s="16">
        <v>309000</v>
      </c>
      <c r="C334" s="16" t="s">
        <v>118</v>
      </c>
      <c r="D334" s="16" t="s">
        <v>28</v>
      </c>
      <c r="E334" s="16"/>
      <c r="F334" s="16" t="s">
        <v>14</v>
      </c>
      <c r="G334" s="17" t="str">
        <f t="shared" si="12"/>
        <v xml:space="preserve"> trois cent neuf mille</v>
      </c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spans="2:20" x14ac:dyDescent="0.35">
      <c r="B335" s="16">
        <v>310000</v>
      </c>
      <c r="C335" s="16" t="s">
        <v>118</v>
      </c>
      <c r="D335" s="16" t="s">
        <v>39</v>
      </c>
      <c r="E335" s="16"/>
      <c r="F335" s="16" t="s">
        <v>14</v>
      </c>
      <c r="G335" s="17" t="str">
        <f t="shared" si="12"/>
        <v xml:space="preserve"> trois cent dix mille</v>
      </c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spans="2:20" x14ac:dyDescent="0.35">
      <c r="B336" s="16">
        <v>311000</v>
      </c>
      <c r="C336" s="16" t="s">
        <v>118</v>
      </c>
      <c r="D336" s="16" t="s">
        <v>42</v>
      </c>
      <c r="E336" s="16"/>
      <c r="F336" s="16" t="s">
        <v>14</v>
      </c>
      <c r="G336" s="17" t="str">
        <f t="shared" si="12"/>
        <v xml:space="preserve"> trois cent onze mille</v>
      </c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spans="2:20" x14ac:dyDescent="0.35">
      <c r="B337" s="16">
        <v>312000</v>
      </c>
      <c r="C337" s="16" t="s">
        <v>118</v>
      </c>
      <c r="D337" s="16" t="s">
        <v>44</v>
      </c>
      <c r="E337" s="16"/>
      <c r="F337" s="16" t="s">
        <v>14</v>
      </c>
      <c r="G337" s="17" t="str">
        <f t="shared" si="12"/>
        <v xml:space="preserve"> trois cent douze mille</v>
      </c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spans="2:20" x14ac:dyDescent="0.35">
      <c r="B338" s="16">
        <v>313000</v>
      </c>
      <c r="C338" s="16" t="s">
        <v>118</v>
      </c>
      <c r="D338" s="16" t="s">
        <v>46</v>
      </c>
      <c r="E338" s="16"/>
      <c r="F338" s="16" t="s">
        <v>14</v>
      </c>
      <c r="G338" s="17" t="str">
        <f t="shared" si="12"/>
        <v xml:space="preserve"> trois cent treize mille</v>
      </c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spans="2:20" x14ac:dyDescent="0.35">
      <c r="B339" s="16">
        <v>314000</v>
      </c>
      <c r="C339" s="16" t="s">
        <v>118</v>
      </c>
      <c r="D339" s="16" t="s">
        <v>48</v>
      </c>
      <c r="E339" s="16"/>
      <c r="F339" s="16" t="s">
        <v>14</v>
      </c>
      <c r="G339" s="17" t="str">
        <f t="shared" si="12"/>
        <v xml:space="preserve"> trois cent quatorze mille</v>
      </c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spans="2:20" x14ac:dyDescent="0.35">
      <c r="B340" s="16">
        <v>315000</v>
      </c>
      <c r="C340" s="16" t="s">
        <v>118</v>
      </c>
      <c r="D340" s="16" t="s">
        <v>13</v>
      </c>
      <c r="E340" s="16"/>
      <c r="F340" s="16" t="s">
        <v>14</v>
      </c>
      <c r="G340" s="17" t="str">
        <f t="shared" si="12"/>
        <v xml:space="preserve"> trois cent quinze mille</v>
      </c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spans="2:20" x14ac:dyDescent="0.35">
      <c r="B341" s="16">
        <v>316000</v>
      </c>
      <c r="C341" s="16" t="s">
        <v>118</v>
      </c>
      <c r="D341" s="16" t="s">
        <v>19</v>
      </c>
      <c r="E341" s="16"/>
      <c r="F341" s="16" t="s">
        <v>14</v>
      </c>
      <c r="G341" s="17" t="str">
        <f t="shared" si="12"/>
        <v xml:space="preserve"> trois cent seize mille</v>
      </c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spans="2:20" x14ac:dyDescent="0.35">
      <c r="B342" s="16">
        <v>317000</v>
      </c>
      <c r="C342" s="16" t="s">
        <v>118</v>
      </c>
      <c r="D342" s="16" t="s">
        <v>23</v>
      </c>
      <c r="E342" s="16"/>
      <c r="F342" s="16" t="s">
        <v>14</v>
      </c>
      <c r="G342" s="17" t="str">
        <f t="shared" si="12"/>
        <v xml:space="preserve"> trois cent dix sept mille</v>
      </c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spans="2:20" x14ac:dyDescent="0.35">
      <c r="B343" s="16">
        <v>318000</v>
      </c>
      <c r="C343" s="16" t="s">
        <v>118</v>
      </c>
      <c r="D343" s="16" t="s">
        <v>27</v>
      </c>
      <c r="E343" s="16"/>
      <c r="F343" s="16" t="s">
        <v>14</v>
      </c>
      <c r="G343" s="17" t="str">
        <f t="shared" si="12"/>
        <v xml:space="preserve"> trois cent dix huit mille</v>
      </c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spans="2:20" x14ac:dyDescent="0.35">
      <c r="B344" s="16">
        <v>319000</v>
      </c>
      <c r="C344" s="16" t="s">
        <v>118</v>
      </c>
      <c r="D344" s="16" t="s">
        <v>30</v>
      </c>
      <c r="E344" s="16"/>
      <c r="F344" s="16" t="s">
        <v>14</v>
      </c>
      <c r="G344" s="17" t="str">
        <f t="shared" si="12"/>
        <v xml:space="preserve"> trois cent dix neuf mille</v>
      </c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spans="2:20" x14ac:dyDescent="0.35">
      <c r="B345" s="16">
        <v>320000</v>
      </c>
      <c r="C345" s="16" t="s">
        <v>118</v>
      </c>
      <c r="D345" s="16" t="s">
        <v>10</v>
      </c>
      <c r="E345" s="16"/>
      <c r="F345" s="16" t="s">
        <v>14</v>
      </c>
      <c r="G345" s="17" t="str">
        <f t="shared" si="12"/>
        <v xml:space="preserve"> trois cent vingt mille</v>
      </c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spans="2:20" x14ac:dyDescent="0.35">
      <c r="B346" s="16">
        <v>321000</v>
      </c>
      <c r="C346" s="16" t="s">
        <v>118</v>
      </c>
      <c r="D346" s="16" t="s">
        <v>115</v>
      </c>
      <c r="E346" s="16" t="s">
        <v>32</v>
      </c>
      <c r="F346" s="16" t="s">
        <v>14</v>
      </c>
      <c r="G346" s="17" t="str">
        <f t="shared" si="12"/>
        <v xml:space="preserve"> trois cent vingt  et un mille</v>
      </c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spans="2:20" x14ac:dyDescent="0.35">
      <c r="B347" s="16">
        <v>322000</v>
      </c>
      <c r="C347" s="16" t="s">
        <v>118</v>
      </c>
      <c r="D347" s="16" t="s">
        <v>10</v>
      </c>
      <c r="E347" s="16" t="s">
        <v>16</v>
      </c>
      <c r="F347" s="16" t="s">
        <v>14</v>
      </c>
      <c r="G347" s="17" t="str">
        <f t="shared" si="12"/>
        <v xml:space="preserve"> trois cent vingt deux mille</v>
      </c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spans="2:20" x14ac:dyDescent="0.35">
      <c r="B348" s="16">
        <v>323000</v>
      </c>
      <c r="C348" s="16" t="s">
        <v>118</v>
      </c>
      <c r="D348" s="16" t="s">
        <v>10</v>
      </c>
      <c r="E348" s="16" t="s">
        <v>20</v>
      </c>
      <c r="F348" s="16" t="s">
        <v>14</v>
      </c>
      <c r="G348" s="17" t="str">
        <f t="shared" si="12"/>
        <v xml:space="preserve"> trois cent vingt trois mille</v>
      </c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spans="2:20" x14ac:dyDescent="0.35">
      <c r="B349" s="16">
        <v>324000</v>
      </c>
      <c r="C349" s="16" t="s">
        <v>118</v>
      </c>
      <c r="D349" s="16" t="s">
        <v>10</v>
      </c>
      <c r="E349" s="16" t="s">
        <v>24</v>
      </c>
      <c r="F349" s="16" t="s">
        <v>14</v>
      </c>
      <c r="G349" s="17" t="str">
        <f t="shared" si="12"/>
        <v xml:space="preserve"> trois cent vingt quatre mille</v>
      </c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spans="2:20" x14ac:dyDescent="0.35">
      <c r="B350" s="16">
        <v>325000</v>
      </c>
      <c r="C350" s="16" t="s">
        <v>118</v>
      </c>
      <c r="D350" s="16" t="s">
        <v>10</v>
      </c>
      <c r="E350" s="16" t="s">
        <v>11</v>
      </c>
      <c r="F350" s="16" t="s">
        <v>14</v>
      </c>
      <c r="G350" s="17" t="str">
        <f t="shared" si="12"/>
        <v xml:space="preserve"> trois cent vingt cinq mille</v>
      </c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spans="2:20" x14ac:dyDescent="0.35">
      <c r="B351" s="16">
        <v>326000</v>
      </c>
      <c r="C351" s="16" t="s">
        <v>118</v>
      </c>
      <c r="D351" s="16" t="s">
        <v>10</v>
      </c>
      <c r="E351" s="16" t="s">
        <v>116</v>
      </c>
      <c r="F351" s="16" t="s">
        <v>14</v>
      </c>
      <c r="G351" s="17" t="str">
        <f t="shared" si="12"/>
        <v xml:space="preserve"> trois cent vingt six mille</v>
      </c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spans="2:20" x14ac:dyDescent="0.35">
      <c r="B352" s="16">
        <v>327000</v>
      </c>
      <c r="C352" s="16" t="s">
        <v>118</v>
      </c>
      <c r="D352" s="16" t="s">
        <v>10</v>
      </c>
      <c r="E352" s="16" t="s">
        <v>21</v>
      </c>
      <c r="F352" s="16" t="s">
        <v>14</v>
      </c>
      <c r="G352" s="17" t="str">
        <f t="shared" si="12"/>
        <v xml:space="preserve"> trois cent vingt sept mille</v>
      </c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spans="2:20" x14ac:dyDescent="0.35">
      <c r="B353" s="16">
        <v>328000</v>
      </c>
      <c r="C353" s="16" t="s">
        <v>118</v>
      </c>
      <c r="D353" s="16" t="s">
        <v>10</v>
      </c>
      <c r="E353" s="16" t="s">
        <v>25</v>
      </c>
      <c r="F353" s="16" t="s">
        <v>14</v>
      </c>
      <c r="G353" s="17" t="str">
        <f t="shared" si="12"/>
        <v xml:space="preserve"> trois cent vingt huit mille</v>
      </c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spans="2:20" x14ac:dyDescent="0.35">
      <c r="B354" s="16">
        <v>329000</v>
      </c>
      <c r="C354" s="16" t="s">
        <v>118</v>
      </c>
      <c r="D354" s="16" t="s">
        <v>10</v>
      </c>
      <c r="E354" s="16" t="s">
        <v>28</v>
      </c>
      <c r="F354" s="16" t="s">
        <v>14</v>
      </c>
      <c r="G354" s="17" t="str">
        <f t="shared" si="12"/>
        <v xml:space="preserve"> trois cent vingt neuf mille</v>
      </c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spans="2:20" x14ac:dyDescent="0.35">
      <c r="B355" s="16">
        <v>330000</v>
      </c>
      <c r="C355" s="16" t="s">
        <v>118</v>
      </c>
      <c r="D355" s="16" t="s">
        <v>31</v>
      </c>
      <c r="E355" s="16"/>
      <c r="F355" s="16" t="s">
        <v>14</v>
      </c>
      <c r="G355" s="17" t="str">
        <f t="shared" si="12"/>
        <v xml:space="preserve"> trois cent trente mille</v>
      </c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spans="2:20" x14ac:dyDescent="0.35">
      <c r="B356" s="16">
        <v>331000</v>
      </c>
      <c r="C356" s="16" t="s">
        <v>118</v>
      </c>
      <c r="D356" s="16" t="s">
        <v>31</v>
      </c>
      <c r="E356" s="16" t="s">
        <v>32</v>
      </c>
      <c r="F356" s="16" t="s">
        <v>14</v>
      </c>
      <c r="G356" s="17" t="str">
        <f t="shared" si="12"/>
        <v xml:space="preserve"> trois cent trente et un mille</v>
      </c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spans="2:20" x14ac:dyDescent="0.35">
      <c r="B357" s="16">
        <v>332000</v>
      </c>
      <c r="C357" s="16" t="s">
        <v>118</v>
      </c>
      <c r="D357" s="16" t="s">
        <v>31</v>
      </c>
      <c r="E357" s="16" t="s">
        <v>16</v>
      </c>
      <c r="F357" s="16" t="s">
        <v>14</v>
      </c>
      <c r="G357" s="17" t="str">
        <f t="shared" si="12"/>
        <v xml:space="preserve"> trois cent trente deux mille</v>
      </c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spans="2:20" x14ac:dyDescent="0.35">
      <c r="B358" s="16">
        <v>333000</v>
      </c>
      <c r="C358" s="16" t="s">
        <v>118</v>
      </c>
      <c r="D358" s="16" t="s">
        <v>31</v>
      </c>
      <c r="E358" s="16" t="s">
        <v>20</v>
      </c>
      <c r="F358" s="16" t="s">
        <v>14</v>
      </c>
      <c r="G358" s="17" t="str">
        <f t="shared" si="12"/>
        <v xml:space="preserve"> trois cent trente trois mille</v>
      </c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2:20" x14ac:dyDescent="0.35">
      <c r="B359" s="16">
        <v>334000</v>
      </c>
      <c r="C359" s="16" t="s">
        <v>118</v>
      </c>
      <c r="D359" s="16" t="s">
        <v>31</v>
      </c>
      <c r="E359" s="16" t="s">
        <v>24</v>
      </c>
      <c r="F359" s="16" t="s">
        <v>14</v>
      </c>
      <c r="G359" s="17" t="str">
        <f t="shared" si="12"/>
        <v xml:space="preserve"> trois cent trente quatre mille</v>
      </c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spans="2:20" x14ac:dyDescent="0.35">
      <c r="B360" s="16">
        <v>335000</v>
      </c>
      <c r="C360" s="16" t="s">
        <v>118</v>
      </c>
      <c r="D360" s="16" t="s">
        <v>31</v>
      </c>
      <c r="E360" s="16" t="s">
        <v>11</v>
      </c>
      <c r="F360" s="16" t="s">
        <v>14</v>
      </c>
      <c r="G360" s="17" t="str">
        <f t="shared" si="12"/>
        <v xml:space="preserve"> trois cent trente cinq mille</v>
      </c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spans="2:20" x14ac:dyDescent="0.35">
      <c r="B361" s="16">
        <v>336000</v>
      </c>
      <c r="C361" s="16" t="s">
        <v>118</v>
      </c>
      <c r="D361" s="16" t="s">
        <v>31</v>
      </c>
      <c r="E361" s="16" t="s">
        <v>116</v>
      </c>
      <c r="F361" s="16" t="s">
        <v>14</v>
      </c>
      <c r="G361" s="17" t="str">
        <f t="shared" si="12"/>
        <v xml:space="preserve"> trois cent trente six mille</v>
      </c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spans="2:20" x14ac:dyDescent="0.35">
      <c r="B362" s="16">
        <v>337000</v>
      </c>
      <c r="C362" s="16" t="s">
        <v>118</v>
      </c>
      <c r="D362" s="16" t="s">
        <v>31</v>
      </c>
      <c r="E362" s="16" t="s">
        <v>21</v>
      </c>
      <c r="F362" s="16" t="s">
        <v>14</v>
      </c>
      <c r="G362" s="17" t="str">
        <f t="shared" si="12"/>
        <v xml:space="preserve"> trois cent trente sept mille</v>
      </c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spans="2:20" x14ac:dyDescent="0.35">
      <c r="B363" s="16">
        <v>338000</v>
      </c>
      <c r="C363" s="16" t="s">
        <v>118</v>
      </c>
      <c r="D363" s="16" t="s">
        <v>31</v>
      </c>
      <c r="E363" s="16" t="s">
        <v>25</v>
      </c>
      <c r="F363" s="16" t="s">
        <v>14</v>
      </c>
      <c r="G363" s="17" t="str">
        <f t="shared" si="12"/>
        <v xml:space="preserve"> trois cent trente huit mille</v>
      </c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spans="2:20" x14ac:dyDescent="0.35">
      <c r="B364" s="16">
        <v>339000</v>
      </c>
      <c r="C364" s="16" t="s">
        <v>118</v>
      </c>
      <c r="D364" s="16" t="s">
        <v>31</v>
      </c>
      <c r="E364" s="16" t="s">
        <v>28</v>
      </c>
      <c r="F364" s="16" t="s">
        <v>14</v>
      </c>
      <c r="G364" s="17" t="str">
        <f t="shared" si="12"/>
        <v xml:space="preserve"> trois cent trente neuf mille</v>
      </c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spans="2:20" x14ac:dyDescent="0.35">
      <c r="B365" s="16">
        <v>340000</v>
      </c>
      <c r="C365" s="16" t="s">
        <v>118</v>
      </c>
      <c r="D365" s="16" t="s">
        <v>51</v>
      </c>
      <c r="E365" s="16"/>
      <c r="F365" s="16" t="s">
        <v>14</v>
      </c>
      <c r="G365" s="17" t="str">
        <f t="shared" si="12"/>
        <v xml:space="preserve"> trois cent quarante mille</v>
      </c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spans="2:20" x14ac:dyDescent="0.35">
      <c r="B366" s="16">
        <v>341000</v>
      </c>
      <c r="C366" s="16" t="s">
        <v>118</v>
      </c>
      <c r="D366" s="16" t="s">
        <v>51</v>
      </c>
      <c r="E366" s="16" t="s">
        <v>32</v>
      </c>
      <c r="F366" s="16" t="s">
        <v>14</v>
      </c>
      <c r="G366" s="17" t="str">
        <f t="shared" si="12"/>
        <v xml:space="preserve"> trois cent quarante et un mille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spans="2:20" x14ac:dyDescent="0.35">
      <c r="B367" s="16">
        <v>342000</v>
      </c>
      <c r="C367" s="16" t="s">
        <v>118</v>
      </c>
      <c r="D367" s="16" t="s">
        <v>51</v>
      </c>
      <c r="E367" s="16" t="s">
        <v>16</v>
      </c>
      <c r="F367" s="16" t="s">
        <v>14</v>
      </c>
      <c r="G367" s="17" t="str">
        <f t="shared" si="12"/>
        <v xml:space="preserve"> trois cent quarante deux mille</v>
      </c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spans="2:20" x14ac:dyDescent="0.35">
      <c r="B368" s="16">
        <v>343000</v>
      </c>
      <c r="C368" s="16" t="s">
        <v>118</v>
      </c>
      <c r="D368" s="16" t="s">
        <v>51</v>
      </c>
      <c r="E368" s="16" t="s">
        <v>20</v>
      </c>
      <c r="F368" s="16" t="s">
        <v>14</v>
      </c>
      <c r="G368" s="17" t="str">
        <f t="shared" si="12"/>
        <v xml:space="preserve"> trois cent quarante trois mille</v>
      </c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spans="2:20" x14ac:dyDescent="0.35">
      <c r="B369" s="16">
        <v>344000</v>
      </c>
      <c r="C369" s="16" t="s">
        <v>118</v>
      </c>
      <c r="D369" s="16" t="s">
        <v>51</v>
      </c>
      <c r="E369" s="16" t="s">
        <v>24</v>
      </c>
      <c r="F369" s="16" t="s">
        <v>14</v>
      </c>
      <c r="G369" s="17" t="str">
        <f t="shared" si="12"/>
        <v xml:space="preserve"> trois cent quarante quatre mille</v>
      </c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spans="2:20" x14ac:dyDescent="0.35">
      <c r="B370" s="16">
        <v>345000</v>
      </c>
      <c r="C370" s="16" t="s">
        <v>118</v>
      </c>
      <c r="D370" s="16" t="s">
        <v>51</v>
      </c>
      <c r="E370" s="16" t="s">
        <v>11</v>
      </c>
      <c r="F370" s="16" t="s">
        <v>14</v>
      </c>
      <c r="G370" s="17" t="str">
        <f t="shared" si="12"/>
        <v xml:space="preserve"> trois cent quarante cinq mille</v>
      </c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spans="2:20" x14ac:dyDescent="0.35">
      <c r="B371" s="16">
        <v>346000</v>
      </c>
      <c r="C371" s="16" t="s">
        <v>118</v>
      </c>
      <c r="D371" s="16" t="s">
        <v>51</v>
      </c>
      <c r="E371" s="16" t="s">
        <v>116</v>
      </c>
      <c r="F371" s="16" t="s">
        <v>14</v>
      </c>
      <c r="G371" s="17" t="str">
        <f t="shared" si="12"/>
        <v xml:space="preserve"> trois cent quarante six mille</v>
      </c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spans="2:20" x14ac:dyDescent="0.35">
      <c r="B372" s="16">
        <v>347000</v>
      </c>
      <c r="C372" s="16" t="s">
        <v>118</v>
      </c>
      <c r="D372" s="16" t="s">
        <v>51</v>
      </c>
      <c r="E372" s="16" t="s">
        <v>21</v>
      </c>
      <c r="F372" s="16" t="s">
        <v>14</v>
      </c>
      <c r="G372" s="17" t="str">
        <f t="shared" si="12"/>
        <v xml:space="preserve"> trois cent quarante sept mille</v>
      </c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spans="2:20" x14ac:dyDescent="0.35">
      <c r="B373" s="16">
        <v>348000</v>
      </c>
      <c r="C373" s="16" t="s">
        <v>118</v>
      </c>
      <c r="D373" s="16" t="s">
        <v>51</v>
      </c>
      <c r="E373" s="16" t="s">
        <v>25</v>
      </c>
      <c r="F373" s="16" t="s">
        <v>14</v>
      </c>
      <c r="G373" s="17" t="str">
        <f t="shared" si="12"/>
        <v xml:space="preserve"> trois cent quarante huit mille</v>
      </c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spans="2:20" x14ac:dyDescent="0.35">
      <c r="B374" s="16">
        <v>349000</v>
      </c>
      <c r="C374" s="16" t="s">
        <v>118</v>
      </c>
      <c r="D374" s="16" t="s">
        <v>51</v>
      </c>
      <c r="E374" s="16" t="s">
        <v>28</v>
      </c>
      <c r="F374" s="16" t="s">
        <v>14</v>
      </c>
      <c r="G374" s="17" t="str">
        <f t="shared" si="12"/>
        <v xml:space="preserve"> trois cent quarante neuf mille</v>
      </c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spans="2:20" x14ac:dyDescent="0.35">
      <c r="B375" s="16">
        <v>350000</v>
      </c>
      <c r="C375" s="16" t="s">
        <v>118</v>
      </c>
      <c r="D375" s="16" t="s">
        <v>61</v>
      </c>
      <c r="E375" s="16"/>
      <c r="F375" s="16" t="s">
        <v>14</v>
      </c>
      <c r="G375" s="17" t="str">
        <f t="shared" si="12"/>
        <v xml:space="preserve"> trois cent cinquante mille</v>
      </c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spans="2:20" x14ac:dyDescent="0.35">
      <c r="B376" s="16">
        <v>351000</v>
      </c>
      <c r="C376" s="16" t="s">
        <v>118</v>
      </c>
      <c r="D376" s="16" t="s">
        <v>61</v>
      </c>
      <c r="E376" s="16" t="s">
        <v>32</v>
      </c>
      <c r="F376" s="16" t="s">
        <v>14</v>
      </c>
      <c r="G376" s="17" t="str">
        <f t="shared" si="12"/>
        <v xml:space="preserve"> trois cent cinquante et un mille</v>
      </c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spans="2:20" x14ac:dyDescent="0.35">
      <c r="B377" s="16">
        <v>352000</v>
      </c>
      <c r="C377" s="16" t="s">
        <v>118</v>
      </c>
      <c r="D377" s="16" t="s">
        <v>61</v>
      </c>
      <c r="E377" s="16" t="s">
        <v>16</v>
      </c>
      <c r="F377" s="16" t="s">
        <v>14</v>
      </c>
      <c r="G377" s="17" t="str">
        <f t="shared" si="12"/>
        <v xml:space="preserve"> trois cent cinquante deux mille</v>
      </c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spans="2:20" x14ac:dyDescent="0.35">
      <c r="B378" s="16">
        <v>353000</v>
      </c>
      <c r="C378" s="16" t="s">
        <v>118</v>
      </c>
      <c r="D378" s="16" t="s">
        <v>61</v>
      </c>
      <c r="E378" s="16" t="s">
        <v>20</v>
      </c>
      <c r="F378" s="16" t="s">
        <v>14</v>
      </c>
      <c r="G378" s="17" t="str">
        <f t="shared" si="12"/>
        <v xml:space="preserve"> trois cent cinquante trois mille</v>
      </c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spans="2:20" x14ac:dyDescent="0.35">
      <c r="B379" s="16">
        <v>354000</v>
      </c>
      <c r="C379" s="16" t="s">
        <v>118</v>
      </c>
      <c r="D379" s="16" t="s">
        <v>61</v>
      </c>
      <c r="E379" s="16" t="s">
        <v>24</v>
      </c>
      <c r="F379" s="16" t="s">
        <v>14</v>
      </c>
      <c r="G379" s="17" t="str">
        <f t="shared" si="12"/>
        <v xml:space="preserve"> trois cent cinquante quatre mille</v>
      </c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spans="2:20" x14ac:dyDescent="0.35">
      <c r="B380" s="16">
        <v>355000</v>
      </c>
      <c r="C380" s="16" t="s">
        <v>118</v>
      </c>
      <c r="D380" s="16" t="s">
        <v>61</v>
      </c>
      <c r="E380" s="16" t="s">
        <v>11</v>
      </c>
      <c r="F380" s="16" t="s">
        <v>14</v>
      </c>
      <c r="G380" s="17" t="str">
        <f t="shared" si="12"/>
        <v xml:space="preserve"> trois cent cinquante cinq mille</v>
      </c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spans="2:20" x14ac:dyDescent="0.35">
      <c r="B381" s="16">
        <v>356000</v>
      </c>
      <c r="C381" s="16" t="s">
        <v>118</v>
      </c>
      <c r="D381" s="16" t="s">
        <v>61</v>
      </c>
      <c r="E381" s="16" t="s">
        <v>116</v>
      </c>
      <c r="F381" s="16" t="s">
        <v>14</v>
      </c>
      <c r="G381" s="17" t="str">
        <f t="shared" si="12"/>
        <v xml:space="preserve"> trois cent cinquante six mille</v>
      </c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spans="2:20" x14ac:dyDescent="0.35">
      <c r="B382" s="16">
        <v>357000</v>
      </c>
      <c r="C382" s="16" t="s">
        <v>118</v>
      </c>
      <c r="D382" s="16" t="s">
        <v>61</v>
      </c>
      <c r="E382" s="16" t="s">
        <v>21</v>
      </c>
      <c r="F382" s="16" t="s">
        <v>14</v>
      </c>
      <c r="G382" s="17" t="str">
        <f t="shared" si="12"/>
        <v xml:space="preserve"> trois cent cinquante sept mille</v>
      </c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spans="2:20" x14ac:dyDescent="0.35">
      <c r="B383" s="16">
        <v>358000</v>
      </c>
      <c r="C383" s="16" t="s">
        <v>118</v>
      </c>
      <c r="D383" s="16" t="s">
        <v>61</v>
      </c>
      <c r="E383" s="16" t="s">
        <v>25</v>
      </c>
      <c r="F383" s="16" t="s">
        <v>14</v>
      </c>
      <c r="G383" s="17" t="str">
        <f t="shared" ref="G383:G446" si="13">CONCATENATE(C383,D383,E383,F383)</f>
        <v xml:space="preserve"> trois cent cinquante huit mille</v>
      </c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spans="2:20" x14ac:dyDescent="0.35">
      <c r="B384" s="16">
        <v>359000</v>
      </c>
      <c r="C384" s="16" t="s">
        <v>118</v>
      </c>
      <c r="D384" s="16" t="s">
        <v>61</v>
      </c>
      <c r="E384" s="16" t="s">
        <v>28</v>
      </c>
      <c r="F384" s="16" t="s">
        <v>14</v>
      </c>
      <c r="G384" s="17" t="str">
        <f t="shared" si="13"/>
        <v xml:space="preserve"> trois cent cinquante neuf mille</v>
      </c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spans="2:20" x14ac:dyDescent="0.35">
      <c r="B385" s="16">
        <v>360000</v>
      </c>
      <c r="C385" s="16" t="s">
        <v>118</v>
      </c>
      <c r="D385" s="16" t="s">
        <v>71</v>
      </c>
      <c r="E385" s="16"/>
      <c r="F385" s="16" t="s">
        <v>14</v>
      </c>
      <c r="G385" s="17" t="str">
        <f t="shared" si="13"/>
        <v xml:space="preserve"> trois cent soixante mille</v>
      </c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spans="2:20" x14ac:dyDescent="0.35">
      <c r="B386" s="16">
        <v>361000</v>
      </c>
      <c r="C386" s="16" t="s">
        <v>118</v>
      </c>
      <c r="D386" s="16" t="s">
        <v>71</v>
      </c>
      <c r="E386" s="16" t="s">
        <v>32</v>
      </c>
      <c r="F386" s="16" t="s">
        <v>14</v>
      </c>
      <c r="G386" s="17" t="str">
        <f t="shared" si="13"/>
        <v xml:space="preserve"> trois cent soixante et un mille</v>
      </c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spans="2:20" x14ac:dyDescent="0.35">
      <c r="B387" s="16">
        <v>362000</v>
      </c>
      <c r="C387" s="16" t="s">
        <v>118</v>
      </c>
      <c r="D387" s="16" t="s">
        <v>71</v>
      </c>
      <c r="E387" s="16" t="s">
        <v>16</v>
      </c>
      <c r="F387" s="16" t="s">
        <v>14</v>
      </c>
      <c r="G387" s="17" t="str">
        <f t="shared" si="13"/>
        <v xml:space="preserve"> trois cent soixante deux mille</v>
      </c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spans="2:20" x14ac:dyDescent="0.35">
      <c r="B388" s="16">
        <v>363000</v>
      </c>
      <c r="C388" s="16" t="s">
        <v>118</v>
      </c>
      <c r="D388" s="16" t="s">
        <v>71</v>
      </c>
      <c r="E388" s="16" t="s">
        <v>20</v>
      </c>
      <c r="F388" s="16" t="s">
        <v>14</v>
      </c>
      <c r="G388" s="17" t="str">
        <f t="shared" si="13"/>
        <v xml:space="preserve"> trois cent soixante trois mille</v>
      </c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spans="2:20" x14ac:dyDescent="0.35">
      <c r="B389" s="16">
        <v>364000</v>
      </c>
      <c r="C389" s="16" t="s">
        <v>118</v>
      </c>
      <c r="D389" s="16" t="s">
        <v>71</v>
      </c>
      <c r="E389" s="16" t="s">
        <v>24</v>
      </c>
      <c r="F389" s="16" t="s">
        <v>14</v>
      </c>
      <c r="G389" s="17" t="str">
        <f t="shared" si="13"/>
        <v xml:space="preserve"> trois cent soixante quatre mille</v>
      </c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spans="2:20" x14ac:dyDescent="0.35">
      <c r="B390" s="16">
        <v>365000</v>
      </c>
      <c r="C390" s="16" t="s">
        <v>118</v>
      </c>
      <c r="D390" s="16" t="s">
        <v>71</v>
      </c>
      <c r="E390" s="16" t="s">
        <v>11</v>
      </c>
      <c r="F390" s="16" t="s">
        <v>14</v>
      </c>
      <c r="G390" s="17" t="str">
        <f t="shared" si="13"/>
        <v xml:space="preserve"> trois cent soixante cinq mille</v>
      </c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spans="2:20" x14ac:dyDescent="0.35">
      <c r="B391" s="16">
        <v>366000</v>
      </c>
      <c r="C391" s="16" t="s">
        <v>118</v>
      </c>
      <c r="D391" s="16" t="s">
        <v>71</v>
      </c>
      <c r="E391" s="16" t="s">
        <v>116</v>
      </c>
      <c r="F391" s="16" t="s">
        <v>14</v>
      </c>
      <c r="G391" s="17" t="str">
        <f t="shared" si="13"/>
        <v xml:space="preserve"> trois cent soixante six mille</v>
      </c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spans="2:20" x14ac:dyDescent="0.35">
      <c r="B392" s="16">
        <v>367000</v>
      </c>
      <c r="C392" s="16" t="s">
        <v>118</v>
      </c>
      <c r="D392" s="16" t="s">
        <v>71</v>
      </c>
      <c r="E392" s="16" t="s">
        <v>21</v>
      </c>
      <c r="F392" s="16" t="s">
        <v>14</v>
      </c>
      <c r="G392" s="17" t="str">
        <f t="shared" si="13"/>
        <v xml:space="preserve"> trois cent soixante sept mille</v>
      </c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spans="2:20" x14ac:dyDescent="0.35">
      <c r="B393" s="16">
        <v>368000</v>
      </c>
      <c r="C393" s="16" t="s">
        <v>118</v>
      </c>
      <c r="D393" s="16" t="s">
        <v>71</v>
      </c>
      <c r="E393" s="16" t="s">
        <v>25</v>
      </c>
      <c r="F393" s="16" t="s">
        <v>14</v>
      </c>
      <c r="G393" s="17" t="str">
        <f t="shared" si="13"/>
        <v xml:space="preserve"> trois cent soixante huit mille</v>
      </c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spans="2:20" x14ac:dyDescent="0.35">
      <c r="B394" s="16">
        <v>369000</v>
      </c>
      <c r="C394" s="16" t="s">
        <v>118</v>
      </c>
      <c r="D394" s="16" t="s">
        <v>71</v>
      </c>
      <c r="E394" s="16" t="s">
        <v>28</v>
      </c>
      <c r="F394" s="16" t="s">
        <v>14</v>
      </c>
      <c r="G394" s="17" t="str">
        <f t="shared" si="13"/>
        <v xml:space="preserve"> trois cent soixante neuf mille</v>
      </c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spans="2:20" x14ac:dyDescent="0.35">
      <c r="B395" s="16">
        <v>370000</v>
      </c>
      <c r="C395" s="16" t="s">
        <v>118</v>
      </c>
      <c r="D395" s="16" t="s">
        <v>71</v>
      </c>
      <c r="E395" s="16" t="s">
        <v>39</v>
      </c>
      <c r="F395" s="16" t="s">
        <v>14</v>
      </c>
      <c r="G395" s="17" t="str">
        <f t="shared" si="13"/>
        <v xml:space="preserve"> trois cent soixante dix mille</v>
      </c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spans="2:20" x14ac:dyDescent="0.35">
      <c r="B396" s="16">
        <v>371000</v>
      </c>
      <c r="C396" s="16" t="s">
        <v>118</v>
      </c>
      <c r="D396" s="16" t="s">
        <v>71</v>
      </c>
      <c r="E396" s="16" t="s">
        <v>82</v>
      </c>
      <c r="F396" s="16" t="s">
        <v>14</v>
      </c>
      <c r="G396" s="17" t="str">
        <f t="shared" si="13"/>
        <v xml:space="preserve"> trois cent soixante et onze mille</v>
      </c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spans="2:20" x14ac:dyDescent="0.35">
      <c r="B397" s="16">
        <v>372000</v>
      </c>
      <c r="C397" s="16" t="s">
        <v>118</v>
      </c>
      <c r="D397" s="16" t="s">
        <v>71</v>
      </c>
      <c r="E397" s="16" t="s">
        <v>44</v>
      </c>
      <c r="F397" s="16" t="s">
        <v>14</v>
      </c>
      <c r="G397" s="17" t="str">
        <f t="shared" si="13"/>
        <v xml:space="preserve"> trois cent soixante douze mille</v>
      </c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spans="2:20" x14ac:dyDescent="0.35">
      <c r="B398" s="16">
        <v>373000</v>
      </c>
      <c r="C398" s="16" t="s">
        <v>118</v>
      </c>
      <c r="D398" s="16" t="s">
        <v>71</v>
      </c>
      <c r="E398" s="16" t="s">
        <v>46</v>
      </c>
      <c r="F398" s="16" t="s">
        <v>14</v>
      </c>
      <c r="G398" s="17" t="str">
        <f t="shared" si="13"/>
        <v xml:space="preserve"> trois cent soixante treize mille</v>
      </c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spans="2:20" x14ac:dyDescent="0.35">
      <c r="B399" s="16">
        <v>374000</v>
      </c>
      <c r="C399" s="16" t="s">
        <v>118</v>
      </c>
      <c r="D399" s="16" t="s">
        <v>71</v>
      </c>
      <c r="E399" s="16" t="s">
        <v>48</v>
      </c>
      <c r="F399" s="16" t="s">
        <v>14</v>
      </c>
      <c r="G399" s="17" t="str">
        <f t="shared" si="13"/>
        <v xml:space="preserve"> trois cent soixante quatorze mille</v>
      </c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spans="2:20" x14ac:dyDescent="0.35">
      <c r="B400" s="16">
        <v>375000</v>
      </c>
      <c r="C400" s="16" t="s">
        <v>118</v>
      </c>
      <c r="D400" s="16" t="s">
        <v>71</v>
      </c>
      <c r="E400" s="16" t="s">
        <v>13</v>
      </c>
      <c r="F400" s="16" t="s">
        <v>14</v>
      </c>
      <c r="G400" s="17" t="str">
        <f t="shared" si="13"/>
        <v xml:space="preserve"> trois cent soixante quinze mille</v>
      </c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spans="2:20" x14ac:dyDescent="0.35">
      <c r="B401" s="16">
        <v>376000</v>
      </c>
      <c r="C401" s="16" t="s">
        <v>118</v>
      </c>
      <c r="D401" s="16" t="s">
        <v>71</v>
      </c>
      <c r="E401" s="16" t="s">
        <v>19</v>
      </c>
      <c r="F401" s="16" t="s">
        <v>14</v>
      </c>
      <c r="G401" s="17" t="str">
        <f t="shared" si="13"/>
        <v xml:space="preserve"> trois cent soixante seize mille</v>
      </c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spans="2:20" x14ac:dyDescent="0.35">
      <c r="B402" s="16">
        <v>377000</v>
      </c>
      <c r="C402" s="16" t="s">
        <v>118</v>
      </c>
      <c r="D402" s="16" t="s">
        <v>71</v>
      </c>
      <c r="E402" s="16" t="s">
        <v>23</v>
      </c>
      <c r="F402" s="16" t="s">
        <v>14</v>
      </c>
      <c r="G402" s="17" t="str">
        <f t="shared" si="13"/>
        <v xml:space="preserve"> trois cent soixante dix sept mille</v>
      </c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spans="2:20" x14ac:dyDescent="0.35">
      <c r="B403" s="16">
        <v>378000</v>
      </c>
      <c r="C403" s="16" t="s">
        <v>118</v>
      </c>
      <c r="D403" s="16" t="s">
        <v>71</v>
      </c>
      <c r="E403" s="16" t="s">
        <v>27</v>
      </c>
      <c r="F403" s="16" t="s">
        <v>14</v>
      </c>
      <c r="G403" s="17" t="str">
        <f t="shared" si="13"/>
        <v xml:space="preserve"> trois cent soixante dix huit mille</v>
      </c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spans="2:20" x14ac:dyDescent="0.35">
      <c r="B404" s="16">
        <v>379000</v>
      </c>
      <c r="C404" s="16" t="s">
        <v>118</v>
      </c>
      <c r="D404" s="16" t="s">
        <v>71</v>
      </c>
      <c r="E404" s="16" t="s">
        <v>30</v>
      </c>
      <c r="F404" s="16" t="s">
        <v>14</v>
      </c>
      <c r="G404" s="17" t="str">
        <f t="shared" si="13"/>
        <v xml:space="preserve"> trois cent soixante dix neuf mille</v>
      </c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spans="2:20" x14ac:dyDescent="0.35">
      <c r="B405" s="16">
        <v>380000</v>
      </c>
      <c r="C405" s="16" t="s">
        <v>118</v>
      </c>
      <c r="D405" s="16" t="s">
        <v>92</v>
      </c>
      <c r="E405" s="16"/>
      <c r="F405" s="16" t="s">
        <v>14</v>
      </c>
      <c r="G405" s="17" t="str">
        <f t="shared" si="13"/>
        <v xml:space="preserve"> trois cent quatre vingt mille</v>
      </c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spans="2:20" x14ac:dyDescent="0.35">
      <c r="B406" s="16">
        <v>381000</v>
      </c>
      <c r="C406" s="16" t="s">
        <v>118</v>
      </c>
      <c r="D406" s="16" t="s">
        <v>92</v>
      </c>
      <c r="E406" s="16" t="s">
        <v>32</v>
      </c>
      <c r="F406" s="16" t="s">
        <v>14</v>
      </c>
      <c r="G406" s="17" t="str">
        <f t="shared" si="13"/>
        <v xml:space="preserve"> trois cent quatre vingt et un mille</v>
      </c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spans="2:20" x14ac:dyDescent="0.35">
      <c r="B407" s="16">
        <v>382000</v>
      </c>
      <c r="C407" s="16" t="s">
        <v>118</v>
      </c>
      <c r="D407" s="16" t="s">
        <v>92</v>
      </c>
      <c r="E407" s="16" t="s">
        <v>16</v>
      </c>
      <c r="F407" s="16" t="s">
        <v>14</v>
      </c>
      <c r="G407" s="17" t="str">
        <f t="shared" si="13"/>
        <v xml:space="preserve"> trois cent quatre vingt deux mille</v>
      </c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spans="2:20" x14ac:dyDescent="0.35">
      <c r="B408" s="16">
        <v>383000</v>
      </c>
      <c r="C408" s="16" t="s">
        <v>118</v>
      </c>
      <c r="D408" s="16" t="s">
        <v>92</v>
      </c>
      <c r="E408" s="16" t="s">
        <v>20</v>
      </c>
      <c r="F408" s="16" t="s">
        <v>14</v>
      </c>
      <c r="G408" s="17" t="str">
        <f t="shared" si="13"/>
        <v xml:space="preserve"> trois cent quatre vingt trois mille</v>
      </c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spans="2:20" x14ac:dyDescent="0.35">
      <c r="B409" s="16">
        <v>384000</v>
      </c>
      <c r="C409" s="16" t="s">
        <v>118</v>
      </c>
      <c r="D409" s="16" t="s">
        <v>92</v>
      </c>
      <c r="E409" s="16" t="s">
        <v>24</v>
      </c>
      <c r="F409" s="16" t="s">
        <v>14</v>
      </c>
      <c r="G409" s="17" t="str">
        <f t="shared" si="13"/>
        <v xml:space="preserve"> trois cent quatre vingt quatre mille</v>
      </c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spans="2:20" x14ac:dyDescent="0.35">
      <c r="B410" s="16">
        <v>385000</v>
      </c>
      <c r="C410" s="16" t="s">
        <v>118</v>
      </c>
      <c r="D410" s="16" t="s">
        <v>92</v>
      </c>
      <c r="E410" s="16" t="s">
        <v>11</v>
      </c>
      <c r="F410" s="16" t="s">
        <v>14</v>
      </c>
      <c r="G410" s="17" t="str">
        <f t="shared" si="13"/>
        <v xml:space="preserve"> trois cent quatre vingt cinq mille</v>
      </c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spans="2:20" x14ac:dyDescent="0.35">
      <c r="B411" s="16">
        <v>386000</v>
      </c>
      <c r="C411" s="16" t="s">
        <v>118</v>
      </c>
      <c r="D411" s="16" t="s">
        <v>92</v>
      </c>
      <c r="E411" s="16" t="s">
        <v>116</v>
      </c>
      <c r="F411" s="16" t="s">
        <v>14</v>
      </c>
      <c r="G411" s="17" t="str">
        <f t="shared" si="13"/>
        <v xml:space="preserve"> trois cent quatre vingt six mille</v>
      </c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spans="2:20" x14ac:dyDescent="0.35">
      <c r="B412" s="16">
        <v>387000</v>
      </c>
      <c r="C412" s="16" t="s">
        <v>118</v>
      </c>
      <c r="D412" s="16" t="s">
        <v>92</v>
      </c>
      <c r="E412" s="16" t="s">
        <v>21</v>
      </c>
      <c r="F412" s="16" t="s">
        <v>14</v>
      </c>
      <c r="G412" s="17" t="str">
        <f t="shared" si="13"/>
        <v xml:space="preserve"> trois cent quatre vingt sept mille</v>
      </c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spans="2:20" x14ac:dyDescent="0.35">
      <c r="B413" s="16">
        <v>388000</v>
      </c>
      <c r="C413" s="16" t="s">
        <v>118</v>
      </c>
      <c r="D413" s="16" t="s">
        <v>92</v>
      </c>
      <c r="E413" s="16" t="s">
        <v>25</v>
      </c>
      <c r="F413" s="16" t="s">
        <v>14</v>
      </c>
      <c r="G413" s="17" t="str">
        <f t="shared" si="13"/>
        <v xml:space="preserve"> trois cent quatre vingt huit mille</v>
      </c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spans="2:20" x14ac:dyDescent="0.35">
      <c r="B414" s="16">
        <v>389000</v>
      </c>
      <c r="C414" s="16" t="s">
        <v>118</v>
      </c>
      <c r="D414" s="16" t="s">
        <v>92</v>
      </c>
      <c r="E414" s="16" t="s">
        <v>28</v>
      </c>
      <c r="F414" s="16" t="s">
        <v>14</v>
      </c>
      <c r="G414" s="17" t="str">
        <f t="shared" si="13"/>
        <v xml:space="preserve"> trois cent quatre vingt neuf mille</v>
      </c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spans="2:20" x14ac:dyDescent="0.35">
      <c r="B415" s="16">
        <v>390000</v>
      </c>
      <c r="C415" s="16" t="s">
        <v>118</v>
      </c>
      <c r="D415" s="16" t="s">
        <v>92</v>
      </c>
      <c r="E415" s="16" t="s">
        <v>39</v>
      </c>
      <c r="F415" s="16" t="s">
        <v>14</v>
      </c>
      <c r="G415" s="17" t="str">
        <f t="shared" si="13"/>
        <v xml:space="preserve"> trois cent quatre vingt dix mille</v>
      </c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spans="2:20" x14ac:dyDescent="0.35">
      <c r="B416" s="16">
        <v>391000</v>
      </c>
      <c r="C416" s="16" t="s">
        <v>118</v>
      </c>
      <c r="D416" s="16" t="s">
        <v>92</v>
      </c>
      <c r="E416" s="16" t="s">
        <v>42</v>
      </c>
      <c r="F416" s="16" t="s">
        <v>14</v>
      </c>
      <c r="G416" s="17" t="str">
        <f t="shared" si="13"/>
        <v xml:space="preserve"> trois cent quatre vingt onze mille</v>
      </c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spans="2:20" x14ac:dyDescent="0.35">
      <c r="B417" s="16">
        <v>392000</v>
      </c>
      <c r="C417" s="16" t="s">
        <v>118</v>
      </c>
      <c r="D417" s="16" t="s">
        <v>92</v>
      </c>
      <c r="E417" s="16" t="s">
        <v>44</v>
      </c>
      <c r="F417" s="16" t="s">
        <v>14</v>
      </c>
      <c r="G417" s="17" t="str">
        <f t="shared" si="13"/>
        <v xml:space="preserve"> trois cent quatre vingt douze mille</v>
      </c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spans="2:20" x14ac:dyDescent="0.35">
      <c r="B418" s="16">
        <v>393000</v>
      </c>
      <c r="C418" s="16" t="s">
        <v>118</v>
      </c>
      <c r="D418" s="16" t="s">
        <v>92</v>
      </c>
      <c r="E418" s="16" t="s">
        <v>46</v>
      </c>
      <c r="F418" s="16" t="s">
        <v>14</v>
      </c>
      <c r="G418" s="17" t="str">
        <f t="shared" si="13"/>
        <v xml:space="preserve"> trois cent quatre vingt treize mille</v>
      </c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spans="2:20" x14ac:dyDescent="0.35">
      <c r="B419" s="16">
        <v>394000</v>
      </c>
      <c r="C419" s="16" t="s">
        <v>118</v>
      </c>
      <c r="D419" s="16" t="s">
        <v>92</v>
      </c>
      <c r="E419" s="16" t="s">
        <v>48</v>
      </c>
      <c r="F419" s="16" t="s">
        <v>14</v>
      </c>
      <c r="G419" s="17" t="str">
        <f t="shared" si="13"/>
        <v xml:space="preserve"> trois cent quatre vingt quatorze mille</v>
      </c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spans="2:20" x14ac:dyDescent="0.35">
      <c r="B420" s="16">
        <v>395000</v>
      </c>
      <c r="C420" s="16" t="s">
        <v>118</v>
      </c>
      <c r="D420" s="16" t="s">
        <v>92</v>
      </c>
      <c r="E420" s="16" t="s">
        <v>13</v>
      </c>
      <c r="F420" s="16" t="s">
        <v>14</v>
      </c>
      <c r="G420" s="17" t="str">
        <f t="shared" si="13"/>
        <v xml:space="preserve"> trois cent quatre vingt quinze mille</v>
      </c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spans="2:20" x14ac:dyDescent="0.35">
      <c r="B421" s="16">
        <v>396000</v>
      </c>
      <c r="C421" s="16" t="s">
        <v>118</v>
      </c>
      <c r="D421" s="16" t="s">
        <v>92</v>
      </c>
      <c r="E421" s="16" t="s">
        <v>19</v>
      </c>
      <c r="F421" s="16" t="s">
        <v>14</v>
      </c>
      <c r="G421" s="17" t="str">
        <f t="shared" si="13"/>
        <v xml:space="preserve"> trois cent quatre vingt seize mille</v>
      </c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spans="2:20" x14ac:dyDescent="0.35">
      <c r="B422" s="16">
        <v>397000</v>
      </c>
      <c r="C422" s="16" t="s">
        <v>118</v>
      </c>
      <c r="D422" s="16" t="s">
        <v>92</v>
      </c>
      <c r="E422" s="16" t="s">
        <v>23</v>
      </c>
      <c r="F422" s="16" t="s">
        <v>14</v>
      </c>
      <c r="G422" s="17" t="str">
        <f t="shared" si="13"/>
        <v xml:space="preserve"> trois cent quatre vingt dix sept mille</v>
      </c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spans="2:20" x14ac:dyDescent="0.35">
      <c r="B423" s="16">
        <v>398000</v>
      </c>
      <c r="C423" s="16" t="s">
        <v>118</v>
      </c>
      <c r="D423" s="16" t="s">
        <v>92</v>
      </c>
      <c r="E423" s="16" t="s">
        <v>27</v>
      </c>
      <c r="F423" s="16" t="s">
        <v>14</v>
      </c>
      <c r="G423" s="17" t="str">
        <f t="shared" si="13"/>
        <v xml:space="preserve"> trois cent quatre vingt dix huit mille</v>
      </c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spans="2:20" x14ac:dyDescent="0.35">
      <c r="B424" s="16">
        <v>399000</v>
      </c>
      <c r="C424" s="16" t="s">
        <v>118</v>
      </c>
      <c r="D424" s="16" t="s">
        <v>92</v>
      </c>
      <c r="E424" s="16" t="s">
        <v>30</v>
      </c>
      <c r="F424" s="16" t="s">
        <v>14</v>
      </c>
      <c r="G424" s="17" t="str">
        <f t="shared" si="13"/>
        <v xml:space="preserve"> trois cent quatre vingt dix neuf mille</v>
      </c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spans="2:20" x14ac:dyDescent="0.35">
      <c r="B425" s="16">
        <v>400000</v>
      </c>
      <c r="C425" s="16" t="s">
        <v>119</v>
      </c>
      <c r="D425" s="16"/>
      <c r="E425" s="16"/>
      <c r="F425" s="16" t="s">
        <v>14</v>
      </c>
      <c r="G425" s="17" t="str">
        <f t="shared" si="13"/>
        <v xml:space="preserve"> quatre cent mille</v>
      </c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spans="2:20" x14ac:dyDescent="0.35">
      <c r="B426" s="16">
        <v>401000</v>
      </c>
      <c r="C426" s="16" t="s">
        <v>119</v>
      </c>
      <c r="D426" s="16" t="s">
        <v>114</v>
      </c>
      <c r="E426" s="16"/>
      <c r="F426" s="16" t="s">
        <v>14</v>
      </c>
      <c r="G426" s="17" t="str">
        <f t="shared" si="13"/>
        <v xml:space="preserve"> quatre cent un mille</v>
      </c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spans="2:20" x14ac:dyDescent="0.35">
      <c r="B427" s="16">
        <v>402000</v>
      </c>
      <c r="C427" s="16" t="s">
        <v>119</v>
      </c>
      <c r="D427" s="16" t="s">
        <v>16</v>
      </c>
      <c r="E427" s="16"/>
      <c r="F427" s="16" t="s">
        <v>14</v>
      </c>
      <c r="G427" s="17" t="str">
        <f t="shared" si="13"/>
        <v xml:space="preserve"> quatre cent deux mille</v>
      </c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spans="2:20" x14ac:dyDescent="0.35">
      <c r="B428" s="16">
        <v>403000</v>
      </c>
      <c r="C428" s="16" t="s">
        <v>119</v>
      </c>
      <c r="D428" s="16" t="s">
        <v>20</v>
      </c>
      <c r="E428" s="16"/>
      <c r="F428" s="16" t="s">
        <v>14</v>
      </c>
      <c r="G428" s="17" t="str">
        <f t="shared" si="13"/>
        <v xml:space="preserve"> quatre cent trois mille</v>
      </c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spans="2:20" x14ac:dyDescent="0.35">
      <c r="B429" s="16">
        <v>404000</v>
      </c>
      <c r="C429" s="16" t="s">
        <v>119</v>
      </c>
      <c r="D429" s="16" t="s">
        <v>24</v>
      </c>
      <c r="E429" s="16"/>
      <c r="F429" s="16" t="s">
        <v>14</v>
      </c>
      <c r="G429" s="17" t="str">
        <f t="shared" si="13"/>
        <v xml:space="preserve"> quatre cent quatre mille</v>
      </c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spans="2:20" x14ac:dyDescent="0.35">
      <c r="B430" s="16">
        <v>405000</v>
      </c>
      <c r="C430" s="16" t="s">
        <v>119</v>
      </c>
      <c r="D430" s="16" t="s">
        <v>11</v>
      </c>
      <c r="E430" s="16"/>
      <c r="F430" s="16" t="s">
        <v>14</v>
      </c>
      <c r="G430" s="17" t="str">
        <f t="shared" si="13"/>
        <v xml:space="preserve"> quatre cent cinq mille</v>
      </c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spans="2:20" x14ac:dyDescent="0.35">
      <c r="B431" s="16">
        <v>406000</v>
      </c>
      <c r="C431" s="16" t="s">
        <v>119</v>
      </c>
      <c r="D431" s="16" t="s">
        <v>17</v>
      </c>
      <c r="E431" s="16"/>
      <c r="F431" s="16" t="s">
        <v>14</v>
      </c>
      <c r="G431" s="17" t="str">
        <f t="shared" si="13"/>
        <v xml:space="preserve"> quatre cent six  mille</v>
      </c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spans="2:20" x14ac:dyDescent="0.35">
      <c r="B432" s="16">
        <v>407000</v>
      </c>
      <c r="C432" s="16" t="s">
        <v>119</v>
      </c>
      <c r="D432" s="16" t="s">
        <v>21</v>
      </c>
      <c r="E432" s="16"/>
      <c r="F432" s="16" t="s">
        <v>14</v>
      </c>
      <c r="G432" s="17" t="str">
        <f t="shared" si="13"/>
        <v xml:space="preserve"> quatre cent sept mille</v>
      </c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spans="2:20" x14ac:dyDescent="0.35">
      <c r="B433" s="16">
        <v>408000</v>
      </c>
      <c r="C433" s="16" t="s">
        <v>119</v>
      </c>
      <c r="D433" s="16" t="s">
        <v>25</v>
      </c>
      <c r="E433" s="16"/>
      <c r="F433" s="16" t="s">
        <v>14</v>
      </c>
      <c r="G433" s="17" t="str">
        <f t="shared" si="13"/>
        <v xml:space="preserve"> quatre cent huit mille</v>
      </c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spans="2:20" x14ac:dyDescent="0.35">
      <c r="B434" s="16">
        <v>409000</v>
      </c>
      <c r="C434" s="16" t="s">
        <v>119</v>
      </c>
      <c r="D434" s="16" t="s">
        <v>28</v>
      </c>
      <c r="E434" s="16"/>
      <c r="F434" s="16" t="s">
        <v>14</v>
      </c>
      <c r="G434" s="17" t="str">
        <f t="shared" si="13"/>
        <v xml:space="preserve"> quatre cent neuf mille</v>
      </c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spans="2:20" x14ac:dyDescent="0.35">
      <c r="B435" s="16">
        <v>410000</v>
      </c>
      <c r="C435" s="16" t="s">
        <v>119</v>
      </c>
      <c r="D435" s="16" t="s">
        <v>39</v>
      </c>
      <c r="E435" s="16"/>
      <c r="F435" s="16" t="s">
        <v>14</v>
      </c>
      <c r="G435" s="17" t="str">
        <f t="shared" si="13"/>
        <v xml:space="preserve"> quatre cent dix mille</v>
      </c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spans="2:20" x14ac:dyDescent="0.35">
      <c r="B436" s="16">
        <v>411000</v>
      </c>
      <c r="C436" s="16" t="s">
        <v>119</v>
      </c>
      <c r="D436" s="16" t="s">
        <v>42</v>
      </c>
      <c r="E436" s="16"/>
      <c r="F436" s="16" t="s">
        <v>14</v>
      </c>
      <c r="G436" s="17" t="str">
        <f t="shared" si="13"/>
        <v xml:space="preserve"> quatre cent onze mille</v>
      </c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spans="2:20" x14ac:dyDescent="0.35">
      <c r="B437" s="16">
        <v>412000</v>
      </c>
      <c r="C437" s="16" t="s">
        <v>119</v>
      </c>
      <c r="D437" s="16" t="s">
        <v>44</v>
      </c>
      <c r="E437" s="16"/>
      <c r="F437" s="16" t="s">
        <v>14</v>
      </c>
      <c r="G437" s="17" t="str">
        <f t="shared" si="13"/>
        <v xml:space="preserve"> quatre cent douze mille</v>
      </c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spans="2:20" x14ac:dyDescent="0.35">
      <c r="B438" s="16">
        <v>413000</v>
      </c>
      <c r="C438" s="16" t="s">
        <v>119</v>
      </c>
      <c r="D438" s="16" t="s">
        <v>46</v>
      </c>
      <c r="E438" s="16"/>
      <c r="F438" s="16" t="s">
        <v>14</v>
      </c>
      <c r="G438" s="17" t="str">
        <f t="shared" si="13"/>
        <v xml:space="preserve"> quatre cent treize mille</v>
      </c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spans="2:20" x14ac:dyDescent="0.35">
      <c r="B439" s="16">
        <v>414000</v>
      </c>
      <c r="C439" s="16" t="s">
        <v>119</v>
      </c>
      <c r="D439" s="16" t="s">
        <v>48</v>
      </c>
      <c r="E439" s="16"/>
      <c r="F439" s="16" t="s">
        <v>14</v>
      </c>
      <c r="G439" s="17" t="str">
        <f t="shared" si="13"/>
        <v xml:space="preserve"> quatre cent quatorze mille</v>
      </c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spans="2:20" x14ac:dyDescent="0.35">
      <c r="B440" s="16">
        <v>415000</v>
      </c>
      <c r="C440" s="16" t="s">
        <v>119</v>
      </c>
      <c r="D440" s="16" t="s">
        <v>13</v>
      </c>
      <c r="E440" s="16"/>
      <c r="F440" s="16" t="s">
        <v>14</v>
      </c>
      <c r="G440" s="17" t="str">
        <f t="shared" si="13"/>
        <v xml:space="preserve"> quatre cent quinze mille</v>
      </c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spans="2:20" x14ac:dyDescent="0.35">
      <c r="B441" s="16">
        <v>416000</v>
      </c>
      <c r="C441" s="16" t="s">
        <v>119</v>
      </c>
      <c r="D441" s="16" t="s">
        <v>19</v>
      </c>
      <c r="E441" s="16"/>
      <c r="F441" s="16" t="s">
        <v>14</v>
      </c>
      <c r="G441" s="17" t="str">
        <f t="shared" si="13"/>
        <v xml:space="preserve"> quatre cent seize mille</v>
      </c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spans="2:20" x14ac:dyDescent="0.35">
      <c r="B442" s="16">
        <v>417000</v>
      </c>
      <c r="C442" s="16" t="s">
        <v>119</v>
      </c>
      <c r="D442" s="16" t="s">
        <v>23</v>
      </c>
      <c r="E442" s="16"/>
      <c r="F442" s="16" t="s">
        <v>14</v>
      </c>
      <c r="G442" s="17" t="str">
        <f t="shared" si="13"/>
        <v xml:space="preserve"> quatre cent dix sept mille</v>
      </c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spans="2:20" x14ac:dyDescent="0.35">
      <c r="B443" s="16">
        <v>418000</v>
      </c>
      <c r="C443" s="16" t="s">
        <v>119</v>
      </c>
      <c r="D443" s="16" t="s">
        <v>27</v>
      </c>
      <c r="E443" s="16"/>
      <c r="F443" s="16" t="s">
        <v>14</v>
      </c>
      <c r="G443" s="17" t="str">
        <f t="shared" si="13"/>
        <v xml:space="preserve"> quatre cent dix huit mille</v>
      </c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spans="2:20" x14ac:dyDescent="0.35">
      <c r="B444" s="16">
        <v>419000</v>
      </c>
      <c r="C444" s="16" t="s">
        <v>119</v>
      </c>
      <c r="D444" s="16" t="s">
        <v>30</v>
      </c>
      <c r="E444" s="16"/>
      <c r="F444" s="16" t="s">
        <v>14</v>
      </c>
      <c r="G444" s="17" t="str">
        <f t="shared" si="13"/>
        <v xml:space="preserve"> quatre cent dix neuf mille</v>
      </c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spans="2:20" x14ac:dyDescent="0.35">
      <c r="B445" s="16">
        <v>420000</v>
      </c>
      <c r="C445" s="16" t="s">
        <v>119</v>
      </c>
      <c r="D445" s="16" t="s">
        <v>10</v>
      </c>
      <c r="E445" s="16"/>
      <c r="F445" s="16" t="s">
        <v>14</v>
      </c>
      <c r="G445" s="17" t="str">
        <f t="shared" si="13"/>
        <v xml:space="preserve"> quatre cent vingt mille</v>
      </c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2:20" x14ac:dyDescent="0.35">
      <c r="B446" s="16">
        <v>421000</v>
      </c>
      <c r="C446" s="16" t="s">
        <v>119</v>
      </c>
      <c r="D446" s="16" t="s">
        <v>115</v>
      </c>
      <c r="E446" s="16" t="s">
        <v>32</v>
      </c>
      <c r="F446" s="16" t="s">
        <v>14</v>
      </c>
      <c r="G446" s="17" t="str">
        <f t="shared" si="13"/>
        <v xml:space="preserve"> quatre cent vingt  et un mille</v>
      </c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spans="2:20" x14ac:dyDescent="0.35">
      <c r="B447" s="16">
        <v>422000</v>
      </c>
      <c r="C447" s="16" t="s">
        <v>119</v>
      </c>
      <c r="D447" s="16" t="s">
        <v>10</v>
      </c>
      <c r="E447" s="16" t="s">
        <v>16</v>
      </c>
      <c r="F447" s="16" t="s">
        <v>14</v>
      </c>
      <c r="G447" s="17" t="str">
        <f t="shared" ref="G447:G510" si="14">CONCATENATE(C447,D447,E447,F447)</f>
        <v xml:space="preserve"> quatre cent vingt deux mille</v>
      </c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spans="2:20" x14ac:dyDescent="0.35">
      <c r="B448" s="16">
        <v>423000</v>
      </c>
      <c r="C448" s="16" t="s">
        <v>119</v>
      </c>
      <c r="D448" s="16" t="s">
        <v>10</v>
      </c>
      <c r="E448" s="16" t="s">
        <v>20</v>
      </c>
      <c r="F448" s="16" t="s">
        <v>14</v>
      </c>
      <c r="G448" s="17" t="str">
        <f t="shared" si="14"/>
        <v xml:space="preserve"> quatre cent vingt trois mille</v>
      </c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spans="2:20" x14ac:dyDescent="0.35">
      <c r="B449" s="16">
        <v>424000</v>
      </c>
      <c r="C449" s="16" t="s">
        <v>119</v>
      </c>
      <c r="D449" s="16" t="s">
        <v>10</v>
      </c>
      <c r="E449" s="16" t="s">
        <v>24</v>
      </c>
      <c r="F449" s="16" t="s">
        <v>14</v>
      </c>
      <c r="G449" s="17" t="str">
        <f t="shared" si="14"/>
        <v xml:space="preserve"> quatre cent vingt quatre mille</v>
      </c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2:20" x14ac:dyDescent="0.35">
      <c r="B450" s="16">
        <v>425000</v>
      </c>
      <c r="C450" s="16" t="s">
        <v>119</v>
      </c>
      <c r="D450" s="16" t="s">
        <v>10</v>
      </c>
      <c r="E450" s="16" t="s">
        <v>11</v>
      </c>
      <c r="F450" s="16" t="s">
        <v>14</v>
      </c>
      <c r="G450" s="17" t="str">
        <f t="shared" si="14"/>
        <v xml:space="preserve"> quatre cent vingt cinq mille</v>
      </c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spans="2:20" x14ac:dyDescent="0.35">
      <c r="B451" s="16">
        <v>426000</v>
      </c>
      <c r="C451" s="16" t="s">
        <v>119</v>
      </c>
      <c r="D451" s="16" t="s">
        <v>10</v>
      </c>
      <c r="E451" s="16" t="s">
        <v>116</v>
      </c>
      <c r="F451" s="16" t="s">
        <v>14</v>
      </c>
      <c r="G451" s="17" t="str">
        <f t="shared" si="14"/>
        <v xml:space="preserve"> quatre cent vingt six mille</v>
      </c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2:20" x14ac:dyDescent="0.35">
      <c r="B452" s="16">
        <v>427000</v>
      </c>
      <c r="C452" s="16" t="s">
        <v>119</v>
      </c>
      <c r="D452" s="16" t="s">
        <v>10</v>
      </c>
      <c r="E452" s="16" t="s">
        <v>21</v>
      </c>
      <c r="F452" s="16" t="s">
        <v>14</v>
      </c>
      <c r="G452" s="17" t="str">
        <f t="shared" si="14"/>
        <v xml:space="preserve"> quatre cent vingt sept mille</v>
      </c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2:20" x14ac:dyDescent="0.35">
      <c r="B453" s="16">
        <v>428000</v>
      </c>
      <c r="C453" s="16" t="s">
        <v>119</v>
      </c>
      <c r="D453" s="16" t="s">
        <v>10</v>
      </c>
      <c r="E453" s="16" t="s">
        <v>25</v>
      </c>
      <c r="F453" s="16" t="s">
        <v>14</v>
      </c>
      <c r="G453" s="17" t="str">
        <f t="shared" si="14"/>
        <v xml:space="preserve"> quatre cent vingt huit mille</v>
      </c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spans="2:20" x14ac:dyDescent="0.35">
      <c r="B454" s="16">
        <v>429000</v>
      </c>
      <c r="C454" s="16" t="s">
        <v>119</v>
      </c>
      <c r="D454" s="16" t="s">
        <v>10</v>
      </c>
      <c r="E454" s="16" t="s">
        <v>28</v>
      </c>
      <c r="F454" s="16" t="s">
        <v>14</v>
      </c>
      <c r="G454" s="17" t="str">
        <f t="shared" si="14"/>
        <v xml:space="preserve"> quatre cent vingt neuf mille</v>
      </c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spans="2:20" x14ac:dyDescent="0.35">
      <c r="B455" s="16">
        <v>430000</v>
      </c>
      <c r="C455" s="16" t="s">
        <v>119</v>
      </c>
      <c r="D455" s="16" t="s">
        <v>31</v>
      </c>
      <c r="E455" s="16"/>
      <c r="F455" s="16" t="s">
        <v>14</v>
      </c>
      <c r="G455" s="17" t="str">
        <f t="shared" si="14"/>
        <v xml:space="preserve"> quatre cent trente mille</v>
      </c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spans="2:20" x14ac:dyDescent="0.35">
      <c r="B456" s="16">
        <v>431000</v>
      </c>
      <c r="C456" s="16" t="s">
        <v>119</v>
      </c>
      <c r="D456" s="16" t="s">
        <v>31</v>
      </c>
      <c r="E456" s="16" t="s">
        <v>32</v>
      </c>
      <c r="F456" s="16" t="s">
        <v>14</v>
      </c>
      <c r="G456" s="17" t="str">
        <f t="shared" si="14"/>
        <v xml:space="preserve"> quatre cent trente et un mille</v>
      </c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2:20" x14ac:dyDescent="0.35">
      <c r="B457" s="16">
        <v>432000</v>
      </c>
      <c r="C457" s="16" t="s">
        <v>119</v>
      </c>
      <c r="D457" s="16" t="s">
        <v>31</v>
      </c>
      <c r="E457" s="16" t="s">
        <v>16</v>
      </c>
      <c r="F457" s="16" t="s">
        <v>14</v>
      </c>
      <c r="G457" s="17" t="str">
        <f t="shared" si="14"/>
        <v xml:space="preserve"> quatre cent trente deux mille</v>
      </c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spans="2:20" x14ac:dyDescent="0.35">
      <c r="B458" s="16">
        <v>433000</v>
      </c>
      <c r="C458" s="16" t="s">
        <v>119</v>
      </c>
      <c r="D458" s="16" t="s">
        <v>31</v>
      </c>
      <c r="E458" s="16" t="s">
        <v>20</v>
      </c>
      <c r="F458" s="16" t="s">
        <v>14</v>
      </c>
      <c r="G458" s="17" t="str">
        <f t="shared" si="14"/>
        <v xml:space="preserve"> quatre cent trente trois mille</v>
      </c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spans="2:20" x14ac:dyDescent="0.35">
      <c r="B459" s="16">
        <v>434000</v>
      </c>
      <c r="C459" s="16" t="s">
        <v>119</v>
      </c>
      <c r="D459" s="16" t="s">
        <v>31</v>
      </c>
      <c r="E459" s="16" t="s">
        <v>24</v>
      </c>
      <c r="F459" s="16" t="s">
        <v>14</v>
      </c>
      <c r="G459" s="17" t="str">
        <f t="shared" si="14"/>
        <v xml:space="preserve"> quatre cent trente quatre mille</v>
      </c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spans="2:20" x14ac:dyDescent="0.35">
      <c r="B460" s="16">
        <v>435000</v>
      </c>
      <c r="C460" s="16" t="s">
        <v>119</v>
      </c>
      <c r="D460" s="16" t="s">
        <v>31</v>
      </c>
      <c r="E460" s="16" t="s">
        <v>11</v>
      </c>
      <c r="F460" s="16" t="s">
        <v>14</v>
      </c>
      <c r="G460" s="17" t="str">
        <f t="shared" si="14"/>
        <v xml:space="preserve"> quatre cent trente cinq mille</v>
      </c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2:20" x14ac:dyDescent="0.35">
      <c r="B461" s="16">
        <v>436000</v>
      </c>
      <c r="C461" s="16" t="s">
        <v>119</v>
      </c>
      <c r="D461" s="16" t="s">
        <v>31</v>
      </c>
      <c r="E461" s="16" t="s">
        <v>116</v>
      </c>
      <c r="F461" s="16" t="s">
        <v>14</v>
      </c>
      <c r="G461" s="17" t="str">
        <f t="shared" si="14"/>
        <v xml:space="preserve"> quatre cent trente six mille</v>
      </c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spans="2:20" x14ac:dyDescent="0.35">
      <c r="B462" s="16">
        <v>437000</v>
      </c>
      <c r="C462" s="16" t="s">
        <v>119</v>
      </c>
      <c r="D462" s="16" t="s">
        <v>31</v>
      </c>
      <c r="E462" s="16" t="s">
        <v>21</v>
      </c>
      <c r="F462" s="16" t="s">
        <v>14</v>
      </c>
      <c r="G462" s="17" t="str">
        <f t="shared" si="14"/>
        <v xml:space="preserve"> quatre cent trente sept mille</v>
      </c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spans="2:20" x14ac:dyDescent="0.35">
      <c r="B463" s="16">
        <v>438000</v>
      </c>
      <c r="C463" s="16" t="s">
        <v>119</v>
      </c>
      <c r="D463" s="16" t="s">
        <v>31</v>
      </c>
      <c r="E463" s="16" t="s">
        <v>25</v>
      </c>
      <c r="F463" s="16" t="s">
        <v>14</v>
      </c>
      <c r="G463" s="17" t="str">
        <f t="shared" si="14"/>
        <v xml:space="preserve"> quatre cent trente huit mille</v>
      </c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2:20" x14ac:dyDescent="0.35">
      <c r="B464" s="16">
        <v>439000</v>
      </c>
      <c r="C464" s="16" t="s">
        <v>119</v>
      </c>
      <c r="D464" s="16" t="s">
        <v>31</v>
      </c>
      <c r="E464" s="16" t="s">
        <v>28</v>
      </c>
      <c r="F464" s="16" t="s">
        <v>14</v>
      </c>
      <c r="G464" s="17" t="str">
        <f t="shared" si="14"/>
        <v xml:space="preserve"> quatre cent trente neuf mille</v>
      </c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spans="2:20" x14ac:dyDescent="0.35">
      <c r="B465" s="16">
        <v>440000</v>
      </c>
      <c r="C465" s="16" t="s">
        <v>119</v>
      </c>
      <c r="D465" s="16" t="s">
        <v>51</v>
      </c>
      <c r="E465" s="16"/>
      <c r="F465" s="16" t="s">
        <v>14</v>
      </c>
      <c r="G465" s="17" t="str">
        <f t="shared" si="14"/>
        <v xml:space="preserve"> quatre cent quarante mille</v>
      </c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spans="2:20" x14ac:dyDescent="0.35">
      <c r="B466" s="16">
        <v>441000</v>
      </c>
      <c r="C466" s="16" t="s">
        <v>119</v>
      </c>
      <c r="D466" s="16" t="s">
        <v>51</v>
      </c>
      <c r="E466" s="16" t="s">
        <v>32</v>
      </c>
      <c r="F466" s="16" t="s">
        <v>14</v>
      </c>
      <c r="G466" s="17" t="str">
        <f t="shared" si="14"/>
        <v xml:space="preserve"> quatre cent quarante et un mille</v>
      </c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spans="2:20" x14ac:dyDescent="0.35">
      <c r="B467" s="16">
        <v>442000</v>
      </c>
      <c r="C467" s="16" t="s">
        <v>119</v>
      </c>
      <c r="D467" s="16" t="s">
        <v>51</v>
      </c>
      <c r="E467" s="16" t="s">
        <v>16</v>
      </c>
      <c r="F467" s="16" t="s">
        <v>14</v>
      </c>
      <c r="G467" s="17" t="str">
        <f t="shared" si="14"/>
        <v xml:space="preserve"> quatre cent quarante deux mille</v>
      </c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spans="2:20" x14ac:dyDescent="0.35">
      <c r="B468" s="16">
        <v>443000</v>
      </c>
      <c r="C468" s="16" t="s">
        <v>119</v>
      </c>
      <c r="D468" s="16" t="s">
        <v>51</v>
      </c>
      <c r="E468" s="16" t="s">
        <v>20</v>
      </c>
      <c r="F468" s="16" t="s">
        <v>14</v>
      </c>
      <c r="G468" s="17" t="str">
        <f t="shared" si="14"/>
        <v xml:space="preserve"> quatre cent quarante trois mille</v>
      </c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spans="2:20" x14ac:dyDescent="0.35">
      <c r="B469" s="16">
        <v>444000</v>
      </c>
      <c r="C469" s="16" t="s">
        <v>119</v>
      </c>
      <c r="D469" s="16" t="s">
        <v>51</v>
      </c>
      <c r="E469" s="16" t="s">
        <v>24</v>
      </c>
      <c r="F469" s="16" t="s">
        <v>14</v>
      </c>
      <c r="G469" s="17" t="str">
        <f t="shared" si="14"/>
        <v xml:space="preserve"> quatre cent quarante quatre mille</v>
      </c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spans="2:20" x14ac:dyDescent="0.35">
      <c r="B470" s="16">
        <v>445000</v>
      </c>
      <c r="C470" s="16" t="s">
        <v>119</v>
      </c>
      <c r="D470" s="16" t="s">
        <v>51</v>
      </c>
      <c r="E470" s="16" t="s">
        <v>11</v>
      </c>
      <c r="F470" s="16" t="s">
        <v>14</v>
      </c>
      <c r="G470" s="17" t="str">
        <f t="shared" si="14"/>
        <v xml:space="preserve"> quatre cent quarante cinq mille</v>
      </c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spans="2:20" x14ac:dyDescent="0.35">
      <c r="B471" s="16">
        <v>446000</v>
      </c>
      <c r="C471" s="16" t="s">
        <v>119</v>
      </c>
      <c r="D471" s="16" t="s">
        <v>51</v>
      </c>
      <c r="E471" s="16" t="s">
        <v>116</v>
      </c>
      <c r="F471" s="16" t="s">
        <v>14</v>
      </c>
      <c r="G471" s="17" t="str">
        <f t="shared" si="14"/>
        <v xml:space="preserve"> quatre cent quarante six mille</v>
      </c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spans="2:20" x14ac:dyDescent="0.35">
      <c r="B472" s="16">
        <v>447000</v>
      </c>
      <c r="C472" s="16" t="s">
        <v>119</v>
      </c>
      <c r="D472" s="16" t="s">
        <v>51</v>
      </c>
      <c r="E472" s="16" t="s">
        <v>21</v>
      </c>
      <c r="F472" s="16" t="s">
        <v>14</v>
      </c>
      <c r="G472" s="17" t="str">
        <f t="shared" si="14"/>
        <v xml:space="preserve"> quatre cent quarante sept mille</v>
      </c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spans="2:20" x14ac:dyDescent="0.35">
      <c r="B473" s="16">
        <v>448000</v>
      </c>
      <c r="C473" s="16" t="s">
        <v>119</v>
      </c>
      <c r="D473" s="16" t="s">
        <v>51</v>
      </c>
      <c r="E473" s="16" t="s">
        <v>25</v>
      </c>
      <c r="F473" s="16" t="s">
        <v>14</v>
      </c>
      <c r="G473" s="17" t="str">
        <f t="shared" si="14"/>
        <v xml:space="preserve"> quatre cent quarante huit mille</v>
      </c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spans="2:20" x14ac:dyDescent="0.35">
      <c r="B474" s="16">
        <v>449000</v>
      </c>
      <c r="C474" s="16" t="s">
        <v>119</v>
      </c>
      <c r="D474" s="16" t="s">
        <v>51</v>
      </c>
      <c r="E474" s="16" t="s">
        <v>28</v>
      </c>
      <c r="F474" s="16" t="s">
        <v>14</v>
      </c>
      <c r="G474" s="17" t="str">
        <f t="shared" si="14"/>
        <v xml:space="preserve"> quatre cent quarante neuf mille</v>
      </c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spans="2:20" x14ac:dyDescent="0.35">
      <c r="B475" s="16">
        <v>450000</v>
      </c>
      <c r="C475" s="16" t="s">
        <v>119</v>
      </c>
      <c r="D475" s="16" t="s">
        <v>61</v>
      </c>
      <c r="E475" s="16"/>
      <c r="F475" s="16" t="s">
        <v>14</v>
      </c>
      <c r="G475" s="17" t="str">
        <f t="shared" si="14"/>
        <v xml:space="preserve"> quatre cent cinquante mille</v>
      </c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spans="2:20" x14ac:dyDescent="0.35">
      <c r="B476" s="16">
        <v>451000</v>
      </c>
      <c r="C476" s="16" t="s">
        <v>119</v>
      </c>
      <c r="D476" s="16" t="s">
        <v>61</v>
      </c>
      <c r="E476" s="16" t="s">
        <v>32</v>
      </c>
      <c r="F476" s="16" t="s">
        <v>14</v>
      </c>
      <c r="G476" s="17" t="str">
        <f t="shared" si="14"/>
        <v xml:space="preserve"> quatre cent cinquante et un mille</v>
      </c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spans="2:20" x14ac:dyDescent="0.35">
      <c r="B477" s="16">
        <v>452000</v>
      </c>
      <c r="C477" s="16" t="s">
        <v>119</v>
      </c>
      <c r="D477" s="16" t="s">
        <v>61</v>
      </c>
      <c r="E477" s="16" t="s">
        <v>16</v>
      </c>
      <c r="F477" s="16" t="s">
        <v>14</v>
      </c>
      <c r="G477" s="17" t="str">
        <f t="shared" si="14"/>
        <v xml:space="preserve"> quatre cent cinquante deux mille</v>
      </c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spans="2:20" x14ac:dyDescent="0.35">
      <c r="B478" s="16">
        <v>453000</v>
      </c>
      <c r="C478" s="16" t="s">
        <v>119</v>
      </c>
      <c r="D478" s="16" t="s">
        <v>61</v>
      </c>
      <c r="E478" s="16" t="s">
        <v>20</v>
      </c>
      <c r="F478" s="16" t="s">
        <v>14</v>
      </c>
      <c r="G478" s="17" t="str">
        <f t="shared" si="14"/>
        <v xml:space="preserve"> quatre cent cinquante trois mille</v>
      </c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spans="2:20" x14ac:dyDescent="0.35">
      <c r="B479" s="16">
        <v>454000</v>
      </c>
      <c r="C479" s="16" t="s">
        <v>119</v>
      </c>
      <c r="D479" s="16" t="s">
        <v>61</v>
      </c>
      <c r="E479" s="16" t="s">
        <v>24</v>
      </c>
      <c r="F479" s="16" t="s">
        <v>14</v>
      </c>
      <c r="G479" s="17" t="str">
        <f t="shared" si="14"/>
        <v xml:space="preserve"> quatre cent cinquante quatre mille</v>
      </c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spans="2:20" x14ac:dyDescent="0.35">
      <c r="B480" s="16">
        <v>455000</v>
      </c>
      <c r="C480" s="16" t="s">
        <v>119</v>
      </c>
      <c r="D480" s="16" t="s">
        <v>61</v>
      </c>
      <c r="E480" s="16" t="s">
        <v>11</v>
      </c>
      <c r="F480" s="16" t="s">
        <v>14</v>
      </c>
      <c r="G480" s="17" t="str">
        <f t="shared" si="14"/>
        <v xml:space="preserve"> quatre cent cinquante cinq mille</v>
      </c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spans="2:20" x14ac:dyDescent="0.35">
      <c r="B481" s="16">
        <v>456000</v>
      </c>
      <c r="C481" s="16" t="s">
        <v>119</v>
      </c>
      <c r="D481" s="16" t="s">
        <v>61</v>
      </c>
      <c r="E481" s="16" t="s">
        <v>116</v>
      </c>
      <c r="F481" s="16" t="s">
        <v>14</v>
      </c>
      <c r="G481" s="17" t="str">
        <f t="shared" si="14"/>
        <v xml:space="preserve"> quatre cent cinquante six mille</v>
      </c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spans="2:20" x14ac:dyDescent="0.35">
      <c r="B482" s="16">
        <v>457000</v>
      </c>
      <c r="C482" s="16" t="s">
        <v>119</v>
      </c>
      <c r="D482" s="16" t="s">
        <v>61</v>
      </c>
      <c r="E482" s="16" t="s">
        <v>21</v>
      </c>
      <c r="F482" s="16" t="s">
        <v>14</v>
      </c>
      <c r="G482" s="17" t="str">
        <f t="shared" si="14"/>
        <v xml:space="preserve"> quatre cent cinquante sept mille</v>
      </c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spans="2:20" x14ac:dyDescent="0.35">
      <c r="B483" s="16">
        <v>458000</v>
      </c>
      <c r="C483" s="16" t="s">
        <v>119</v>
      </c>
      <c r="D483" s="16" t="s">
        <v>61</v>
      </c>
      <c r="E483" s="16" t="s">
        <v>25</v>
      </c>
      <c r="F483" s="16" t="s">
        <v>14</v>
      </c>
      <c r="G483" s="17" t="str">
        <f t="shared" si="14"/>
        <v xml:space="preserve"> quatre cent cinquante huit mille</v>
      </c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spans="2:20" x14ac:dyDescent="0.35">
      <c r="B484" s="16">
        <v>459000</v>
      </c>
      <c r="C484" s="16" t="s">
        <v>119</v>
      </c>
      <c r="D484" s="16" t="s">
        <v>61</v>
      </c>
      <c r="E484" s="16" t="s">
        <v>28</v>
      </c>
      <c r="F484" s="16" t="s">
        <v>14</v>
      </c>
      <c r="G484" s="17" t="str">
        <f t="shared" si="14"/>
        <v xml:space="preserve"> quatre cent cinquante neuf mille</v>
      </c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spans="2:20" x14ac:dyDescent="0.35">
      <c r="B485" s="16">
        <v>460000</v>
      </c>
      <c r="C485" s="16" t="s">
        <v>119</v>
      </c>
      <c r="D485" s="16" t="s">
        <v>71</v>
      </c>
      <c r="E485" s="16"/>
      <c r="F485" s="16" t="s">
        <v>14</v>
      </c>
      <c r="G485" s="17" t="str">
        <f t="shared" si="14"/>
        <v xml:space="preserve"> quatre cent soixante mille</v>
      </c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spans="2:20" x14ac:dyDescent="0.35">
      <c r="B486" s="16">
        <v>461000</v>
      </c>
      <c r="C486" s="16" t="s">
        <v>119</v>
      </c>
      <c r="D486" s="16" t="s">
        <v>71</v>
      </c>
      <c r="E486" s="16" t="s">
        <v>32</v>
      </c>
      <c r="F486" s="16" t="s">
        <v>14</v>
      </c>
      <c r="G486" s="17" t="str">
        <f t="shared" si="14"/>
        <v xml:space="preserve"> quatre cent soixante et un mille</v>
      </c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spans="2:20" x14ac:dyDescent="0.35">
      <c r="B487" s="16">
        <v>462000</v>
      </c>
      <c r="C487" s="16" t="s">
        <v>119</v>
      </c>
      <c r="D487" s="16" t="s">
        <v>71</v>
      </c>
      <c r="E487" s="16" t="s">
        <v>16</v>
      </c>
      <c r="F487" s="16" t="s">
        <v>14</v>
      </c>
      <c r="G487" s="17" t="str">
        <f t="shared" si="14"/>
        <v xml:space="preserve"> quatre cent soixante deux mille</v>
      </c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spans="2:20" x14ac:dyDescent="0.35">
      <c r="B488" s="16">
        <v>463000</v>
      </c>
      <c r="C488" s="16" t="s">
        <v>119</v>
      </c>
      <c r="D488" s="16" t="s">
        <v>71</v>
      </c>
      <c r="E488" s="16" t="s">
        <v>20</v>
      </c>
      <c r="F488" s="16" t="s">
        <v>14</v>
      </c>
      <c r="G488" s="17" t="str">
        <f t="shared" si="14"/>
        <v xml:space="preserve"> quatre cent soixante trois mille</v>
      </c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spans="2:20" x14ac:dyDescent="0.35">
      <c r="B489" s="16">
        <v>464000</v>
      </c>
      <c r="C489" s="16" t="s">
        <v>119</v>
      </c>
      <c r="D489" s="16" t="s">
        <v>71</v>
      </c>
      <c r="E489" s="16" t="s">
        <v>24</v>
      </c>
      <c r="F489" s="16" t="s">
        <v>14</v>
      </c>
      <c r="G489" s="17" t="str">
        <f t="shared" si="14"/>
        <v xml:space="preserve"> quatre cent soixante quatre mille</v>
      </c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spans="2:20" x14ac:dyDescent="0.35">
      <c r="B490" s="16">
        <v>465000</v>
      </c>
      <c r="C490" s="16" t="s">
        <v>119</v>
      </c>
      <c r="D490" s="16" t="s">
        <v>71</v>
      </c>
      <c r="E490" s="16" t="s">
        <v>11</v>
      </c>
      <c r="F490" s="16" t="s">
        <v>14</v>
      </c>
      <c r="G490" s="17" t="str">
        <f t="shared" si="14"/>
        <v xml:space="preserve"> quatre cent soixante cinq mille</v>
      </c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spans="2:20" x14ac:dyDescent="0.35">
      <c r="B491" s="16">
        <v>466000</v>
      </c>
      <c r="C491" s="16" t="s">
        <v>119</v>
      </c>
      <c r="D491" s="16" t="s">
        <v>71</v>
      </c>
      <c r="E491" s="16" t="s">
        <v>116</v>
      </c>
      <c r="F491" s="16" t="s">
        <v>14</v>
      </c>
      <c r="G491" s="17" t="str">
        <f t="shared" si="14"/>
        <v xml:space="preserve"> quatre cent soixante six mille</v>
      </c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spans="2:20" x14ac:dyDescent="0.35">
      <c r="B492" s="16">
        <v>467000</v>
      </c>
      <c r="C492" s="16" t="s">
        <v>119</v>
      </c>
      <c r="D492" s="16" t="s">
        <v>71</v>
      </c>
      <c r="E492" s="16" t="s">
        <v>21</v>
      </c>
      <c r="F492" s="16" t="s">
        <v>14</v>
      </c>
      <c r="G492" s="17" t="str">
        <f t="shared" si="14"/>
        <v xml:space="preserve"> quatre cent soixante sept mille</v>
      </c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spans="2:20" x14ac:dyDescent="0.35">
      <c r="B493" s="16">
        <v>468000</v>
      </c>
      <c r="C493" s="16" t="s">
        <v>119</v>
      </c>
      <c r="D493" s="16" t="s">
        <v>71</v>
      </c>
      <c r="E493" s="16" t="s">
        <v>25</v>
      </c>
      <c r="F493" s="16" t="s">
        <v>14</v>
      </c>
      <c r="G493" s="17" t="str">
        <f t="shared" si="14"/>
        <v xml:space="preserve"> quatre cent soixante huit mille</v>
      </c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spans="2:20" x14ac:dyDescent="0.35">
      <c r="B494" s="16">
        <v>469000</v>
      </c>
      <c r="C494" s="16" t="s">
        <v>119</v>
      </c>
      <c r="D494" s="16" t="s">
        <v>71</v>
      </c>
      <c r="E494" s="16" t="s">
        <v>28</v>
      </c>
      <c r="F494" s="16" t="s">
        <v>14</v>
      </c>
      <c r="G494" s="17" t="str">
        <f t="shared" si="14"/>
        <v xml:space="preserve"> quatre cent soixante neuf mille</v>
      </c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spans="2:20" x14ac:dyDescent="0.35">
      <c r="B495" s="16">
        <v>470000</v>
      </c>
      <c r="C495" s="16" t="s">
        <v>119</v>
      </c>
      <c r="D495" s="16" t="s">
        <v>71</v>
      </c>
      <c r="E495" s="16" t="s">
        <v>39</v>
      </c>
      <c r="F495" s="16" t="s">
        <v>14</v>
      </c>
      <c r="G495" s="17" t="str">
        <f t="shared" si="14"/>
        <v xml:space="preserve"> quatre cent soixante dix mille</v>
      </c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spans="2:20" x14ac:dyDescent="0.35">
      <c r="B496" s="16">
        <v>471000</v>
      </c>
      <c r="C496" s="16" t="s">
        <v>119</v>
      </c>
      <c r="D496" s="16" t="s">
        <v>71</v>
      </c>
      <c r="E496" s="16" t="s">
        <v>82</v>
      </c>
      <c r="F496" s="16" t="s">
        <v>14</v>
      </c>
      <c r="G496" s="17" t="str">
        <f t="shared" si="14"/>
        <v xml:space="preserve"> quatre cent soixante et onze mille</v>
      </c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spans="2:20" x14ac:dyDescent="0.35">
      <c r="B497" s="16">
        <v>472000</v>
      </c>
      <c r="C497" s="16" t="s">
        <v>119</v>
      </c>
      <c r="D497" s="16" t="s">
        <v>71</v>
      </c>
      <c r="E497" s="16" t="s">
        <v>44</v>
      </c>
      <c r="F497" s="16" t="s">
        <v>14</v>
      </c>
      <c r="G497" s="17" t="str">
        <f t="shared" si="14"/>
        <v xml:space="preserve"> quatre cent soixante douze mille</v>
      </c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spans="2:20" x14ac:dyDescent="0.35">
      <c r="B498" s="16">
        <v>473000</v>
      </c>
      <c r="C498" s="16" t="s">
        <v>119</v>
      </c>
      <c r="D498" s="16" t="s">
        <v>71</v>
      </c>
      <c r="E498" s="16" t="s">
        <v>46</v>
      </c>
      <c r="F498" s="16" t="s">
        <v>14</v>
      </c>
      <c r="G498" s="17" t="str">
        <f t="shared" si="14"/>
        <v xml:space="preserve"> quatre cent soixante treize mille</v>
      </c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spans="2:20" x14ac:dyDescent="0.35">
      <c r="B499" s="16">
        <v>474000</v>
      </c>
      <c r="C499" s="16" t="s">
        <v>119</v>
      </c>
      <c r="D499" s="16" t="s">
        <v>71</v>
      </c>
      <c r="E499" s="16" t="s">
        <v>48</v>
      </c>
      <c r="F499" s="16" t="s">
        <v>14</v>
      </c>
      <c r="G499" s="17" t="str">
        <f t="shared" si="14"/>
        <v xml:space="preserve"> quatre cent soixante quatorze mille</v>
      </c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spans="2:20" x14ac:dyDescent="0.35">
      <c r="B500" s="16">
        <v>475000</v>
      </c>
      <c r="C500" s="16" t="s">
        <v>119</v>
      </c>
      <c r="D500" s="16" t="s">
        <v>71</v>
      </c>
      <c r="E500" s="16" t="s">
        <v>13</v>
      </c>
      <c r="F500" s="16" t="s">
        <v>14</v>
      </c>
      <c r="G500" s="17" t="str">
        <f t="shared" si="14"/>
        <v xml:space="preserve"> quatre cent soixante quinze mille</v>
      </c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spans="2:20" x14ac:dyDescent="0.35">
      <c r="B501" s="16">
        <v>476000</v>
      </c>
      <c r="C501" s="16" t="s">
        <v>119</v>
      </c>
      <c r="D501" s="16" t="s">
        <v>71</v>
      </c>
      <c r="E501" s="16" t="s">
        <v>19</v>
      </c>
      <c r="F501" s="16" t="s">
        <v>14</v>
      </c>
      <c r="G501" s="17" t="str">
        <f t="shared" si="14"/>
        <v xml:space="preserve"> quatre cent soixante seize mille</v>
      </c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spans="2:20" x14ac:dyDescent="0.35">
      <c r="B502" s="16">
        <v>477000</v>
      </c>
      <c r="C502" s="16" t="s">
        <v>119</v>
      </c>
      <c r="D502" s="16" t="s">
        <v>71</v>
      </c>
      <c r="E502" s="16" t="s">
        <v>23</v>
      </c>
      <c r="F502" s="16" t="s">
        <v>14</v>
      </c>
      <c r="G502" s="17" t="str">
        <f t="shared" si="14"/>
        <v xml:space="preserve"> quatre cent soixante dix sept mille</v>
      </c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spans="2:20" x14ac:dyDescent="0.35">
      <c r="B503" s="16">
        <v>478000</v>
      </c>
      <c r="C503" s="16" t="s">
        <v>119</v>
      </c>
      <c r="D503" s="16" t="s">
        <v>71</v>
      </c>
      <c r="E503" s="16" t="s">
        <v>27</v>
      </c>
      <c r="F503" s="16" t="s">
        <v>14</v>
      </c>
      <c r="G503" s="17" t="str">
        <f t="shared" si="14"/>
        <v xml:space="preserve"> quatre cent soixante dix huit mille</v>
      </c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spans="2:20" x14ac:dyDescent="0.35">
      <c r="B504" s="16">
        <v>479000</v>
      </c>
      <c r="C504" s="16" t="s">
        <v>119</v>
      </c>
      <c r="D504" s="16" t="s">
        <v>71</v>
      </c>
      <c r="E504" s="16" t="s">
        <v>30</v>
      </c>
      <c r="F504" s="16" t="s">
        <v>14</v>
      </c>
      <c r="G504" s="17" t="str">
        <f t="shared" si="14"/>
        <v xml:space="preserve"> quatre cent soixante dix neuf mille</v>
      </c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spans="2:20" x14ac:dyDescent="0.35">
      <c r="B505" s="16">
        <v>480000</v>
      </c>
      <c r="C505" s="16" t="s">
        <v>119</v>
      </c>
      <c r="D505" s="16" t="s">
        <v>92</v>
      </c>
      <c r="E505" s="16"/>
      <c r="F505" s="16" t="s">
        <v>14</v>
      </c>
      <c r="G505" s="17" t="str">
        <f t="shared" si="14"/>
        <v xml:space="preserve"> quatre cent quatre vingt mille</v>
      </c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spans="2:20" x14ac:dyDescent="0.35">
      <c r="B506" s="16">
        <v>481000</v>
      </c>
      <c r="C506" s="16" t="s">
        <v>119</v>
      </c>
      <c r="D506" s="16" t="s">
        <v>92</v>
      </c>
      <c r="E506" s="16" t="s">
        <v>32</v>
      </c>
      <c r="F506" s="16" t="s">
        <v>14</v>
      </c>
      <c r="G506" s="17" t="str">
        <f t="shared" si="14"/>
        <v xml:space="preserve"> quatre cent quatre vingt et un mille</v>
      </c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spans="2:20" x14ac:dyDescent="0.35">
      <c r="B507" s="16">
        <v>482000</v>
      </c>
      <c r="C507" s="16" t="s">
        <v>119</v>
      </c>
      <c r="D507" s="16" t="s">
        <v>92</v>
      </c>
      <c r="E507" s="16" t="s">
        <v>16</v>
      </c>
      <c r="F507" s="16" t="s">
        <v>14</v>
      </c>
      <c r="G507" s="17" t="str">
        <f t="shared" si="14"/>
        <v xml:space="preserve"> quatre cent quatre vingt deux mille</v>
      </c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spans="2:20" x14ac:dyDescent="0.35">
      <c r="B508" s="16">
        <v>483000</v>
      </c>
      <c r="C508" s="16" t="s">
        <v>119</v>
      </c>
      <c r="D508" s="16" t="s">
        <v>92</v>
      </c>
      <c r="E508" s="16" t="s">
        <v>20</v>
      </c>
      <c r="F508" s="16" t="s">
        <v>14</v>
      </c>
      <c r="G508" s="17" t="str">
        <f t="shared" si="14"/>
        <v xml:space="preserve"> quatre cent quatre vingt trois mille</v>
      </c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spans="2:20" x14ac:dyDescent="0.35">
      <c r="B509" s="16">
        <v>484000</v>
      </c>
      <c r="C509" s="16" t="s">
        <v>119</v>
      </c>
      <c r="D509" s="16" t="s">
        <v>92</v>
      </c>
      <c r="E509" s="16" t="s">
        <v>24</v>
      </c>
      <c r="F509" s="16" t="s">
        <v>14</v>
      </c>
      <c r="G509" s="17" t="str">
        <f t="shared" si="14"/>
        <v xml:space="preserve"> quatre cent quatre vingt quatre mille</v>
      </c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spans="2:20" x14ac:dyDescent="0.35">
      <c r="B510" s="16">
        <v>485000</v>
      </c>
      <c r="C510" s="16" t="s">
        <v>119</v>
      </c>
      <c r="D510" s="16" t="s">
        <v>92</v>
      </c>
      <c r="E510" s="16" t="s">
        <v>11</v>
      </c>
      <c r="F510" s="16" t="s">
        <v>14</v>
      </c>
      <c r="G510" s="17" t="str">
        <f t="shared" si="14"/>
        <v xml:space="preserve"> quatre cent quatre vingt cinq mille</v>
      </c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spans="2:20" x14ac:dyDescent="0.35">
      <c r="B511" s="16">
        <v>486000</v>
      </c>
      <c r="C511" s="16" t="s">
        <v>119</v>
      </c>
      <c r="D511" s="16" t="s">
        <v>92</v>
      </c>
      <c r="E511" s="16" t="s">
        <v>116</v>
      </c>
      <c r="F511" s="16" t="s">
        <v>14</v>
      </c>
      <c r="G511" s="17" t="str">
        <f t="shared" ref="G511:G574" si="15">CONCATENATE(C511,D511,E511,F511)</f>
        <v xml:space="preserve"> quatre cent quatre vingt six mille</v>
      </c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spans="2:20" x14ac:dyDescent="0.35">
      <c r="B512" s="16">
        <v>487000</v>
      </c>
      <c r="C512" s="16" t="s">
        <v>119</v>
      </c>
      <c r="D512" s="16" t="s">
        <v>92</v>
      </c>
      <c r="E512" s="16" t="s">
        <v>21</v>
      </c>
      <c r="F512" s="16" t="s">
        <v>14</v>
      </c>
      <c r="G512" s="17" t="str">
        <f t="shared" si="15"/>
        <v xml:space="preserve"> quatre cent quatre vingt sept mille</v>
      </c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spans="2:20" x14ac:dyDescent="0.35">
      <c r="B513" s="16">
        <v>488000</v>
      </c>
      <c r="C513" s="16" t="s">
        <v>119</v>
      </c>
      <c r="D513" s="16" t="s">
        <v>92</v>
      </c>
      <c r="E513" s="16" t="s">
        <v>25</v>
      </c>
      <c r="F513" s="16" t="s">
        <v>14</v>
      </c>
      <c r="G513" s="17" t="str">
        <f t="shared" si="15"/>
        <v xml:space="preserve"> quatre cent quatre vingt huit mille</v>
      </c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spans="2:20" x14ac:dyDescent="0.35">
      <c r="B514" s="16">
        <v>489000</v>
      </c>
      <c r="C514" s="16" t="s">
        <v>119</v>
      </c>
      <c r="D514" s="16" t="s">
        <v>92</v>
      </c>
      <c r="E514" s="16" t="s">
        <v>28</v>
      </c>
      <c r="F514" s="16" t="s">
        <v>14</v>
      </c>
      <c r="G514" s="17" t="str">
        <f t="shared" si="15"/>
        <v xml:space="preserve"> quatre cent quatre vingt neuf mille</v>
      </c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spans="2:20" x14ac:dyDescent="0.35">
      <c r="B515" s="16">
        <v>490000</v>
      </c>
      <c r="C515" s="16" t="s">
        <v>119</v>
      </c>
      <c r="D515" s="16" t="s">
        <v>92</v>
      </c>
      <c r="E515" s="16" t="s">
        <v>39</v>
      </c>
      <c r="F515" s="16" t="s">
        <v>14</v>
      </c>
      <c r="G515" s="17" t="str">
        <f t="shared" si="15"/>
        <v xml:space="preserve"> quatre cent quatre vingt dix mille</v>
      </c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spans="2:20" x14ac:dyDescent="0.35">
      <c r="B516" s="16">
        <v>491000</v>
      </c>
      <c r="C516" s="16" t="s">
        <v>119</v>
      </c>
      <c r="D516" s="16" t="s">
        <v>92</v>
      </c>
      <c r="E516" s="16" t="s">
        <v>42</v>
      </c>
      <c r="F516" s="16" t="s">
        <v>14</v>
      </c>
      <c r="G516" s="17" t="str">
        <f t="shared" si="15"/>
        <v xml:space="preserve"> quatre cent quatre vingt onze mille</v>
      </c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spans="2:20" x14ac:dyDescent="0.35">
      <c r="B517" s="16">
        <v>492000</v>
      </c>
      <c r="C517" s="16" t="s">
        <v>119</v>
      </c>
      <c r="D517" s="16" t="s">
        <v>92</v>
      </c>
      <c r="E517" s="16" t="s">
        <v>44</v>
      </c>
      <c r="F517" s="16" t="s">
        <v>14</v>
      </c>
      <c r="G517" s="17" t="str">
        <f t="shared" si="15"/>
        <v xml:space="preserve"> quatre cent quatre vingt douze mille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spans="2:20" x14ac:dyDescent="0.35">
      <c r="B518" s="16">
        <v>493000</v>
      </c>
      <c r="C518" s="16" t="s">
        <v>119</v>
      </c>
      <c r="D518" s="16" t="s">
        <v>92</v>
      </c>
      <c r="E518" s="16" t="s">
        <v>46</v>
      </c>
      <c r="F518" s="16" t="s">
        <v>14</v>
      </c>
      <c r="G518" s="17" t="str">
        <f t="shared" si="15"/>
        <v xml:space="preserve"> quatre cent quatre vingt treize mille</v>
      </c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spans="2:20" x14ac:dyDescent="0.35">
      <c r="B519" s="16">
        <v>494000</v>
      </c>
      <c r="C519" s="16" t="s">
        <v>119</v>
      </c>
      <c r="D519" s="16" t="s">
        <v>92</v>
      </c>
      <c r="E519" s="16" t="s">
        <v>48</v>
      </c>
      <c r="F519" s="16" t="s">
        <v>14</v>
      </c>
      <c r="G519" s="17" t="str">
        <f t="shared" si="15"/>
        <v xml:space="preserve"> quatre cent quatre vingt quatorze mille</v>
      </c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spans="2:20" x14ac:dyDescent="0.35">
      <c r="B520" s="16">
        <v>495000</v>
      </c>
      <c r="C520" s="16" t="s">
        <v>119</v>
      </c>
      <c r="D520" s="16" t="s">
        <v>92</v>
      </c>
      <c r="E520" s="16" t="s">
        <v>13</v>
      </c>
      <c r="F520" s="16" t="s">
        <v>14</v>
      </c>
      <c r="G520" s="17" t="str">
        <f t="shared" si="15"/>
        <v xml:space="preserve"> quatre cent quatre vingt quinze mille</v>
      </c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spans="2:20" x14ac:dyDescent="0.35">
      <c r="B521" s="16">
        <v>496000</v>
      </c>
      <c r="C521" s="16" t="s">
        <v>119</v>
      </c>
      <c r="D521" s="16" t="s">
        <v>92</v>
      </c>
      <c r="E521" s="16" t="s">
        <v>19</v>
      </c>
      <c r="F521" s="16" t="s">
        <v>14</v>
      </c>
      <c r="G521" s="17" t="str">
        <f t="shared" si="15"/>
        <v xml:space="preserve"> quatre cent quatre vingt seize mille</v>
      </c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spans="2:20" x14ac:dyDescent="0.35">
      <c r="B522" s="16">
        <v>497000</v>
      </c>
      <c r="C522" s="16" t="s">
        <v>119</v>
      </c>
      <c r="D522" s="16" t="s">
        <v>92</v>
      </c>
      <c r="E522" s="16" t="s">
        <v>23</v>
      </c>
      <c r="F522" s="16" t="s">
        <v>14</v>
      </c>
      <c r="G522" s="17" t="str">
        <f t="shared" si="15"/>
        <v xml:space="preserve"> quatre cent quatre vingt dix sept mille</v>
      </c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spans="2:20" x14ac:dyDescent="0.35">
      <c r="B523" s="16">
        <v>498000</v>
      </c>
      <c r="C523" s="16" t="s">
        <v>119</v>
      </c>
      <c r="D523" s="16" t="s">
        <v>92</v>
      </c>
      <c r="E523" s="16" t="s">
        <v>27</v>
      </c>
      <c r="F523" s="16" t="s">
        <v>14</v>
      </c>
      <c r="G523" s="17" t="str">
        <f t="shared" si="15"/>
        <v xml:space="preserve"> quatre cent quatre vingt dix huit mille</v>
      </c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spans="2:20" x14ac:dyDescent="0.35">
      <c r="B524" s="16">
        <v>499000</v>
      </c>
      <c r="C524" s="16" t="s">
        <v>119</v>
      </c>
      <c r="D524" s="16" t="s">
        <v>92</v>
      </c>
      <c r="E524" s="16" t="s">
        <v>30</v>
      </c>
      <c r="F524" s="16" t="s">
        <v>14</v>
      </c>
      <c r="G524" s="17" t="str">
        <f t="shared" si="15"/>
        <v xml:space="preserve"> quatre cent quatre vingt dix neuf mille</v>
      </c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spans="2:20" x14ac:dyDescent="0.35">
      <c r="B525" s="16">
        <v>500000</v>
      </c>
      <c r="C525" s="16" t="s">
        <v>120</v>
      </c>
      <c r="D525" s="16"/>
      <c r="E525" s="16"/>
      <c r="F525" s="16" t="s">
        <v>14</v>
      </c>
      <c r="G525" s="17" t="str">
        <f t="shared" si="15"/>
        <v xml:space="preserve"> cinq cent mille</v>
      </c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spans="2:20" x14ac:dyDescent="0.35">
      <c r="B526" s="16">
        <v>501000</v>
      </c>
      <c r="C526" s="16" t="s">
        <v>120</v>
      </c>
      <c r="D526" s="16" t="s">
        <v>114</v>
      </c>
      <c r="E526" s="16"/>
      <c r="F526" s="16" t="s">
        <v>14</v>
      </c>
      <c r="G526" s="17" t="str">
        <f t="shared" si="15"/>
        <v xml:space="preserve"> cinq cent un mille</v>
      </c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spans="2:20" x14ac:dyDescent="0.35">
      <c r="B527" s="16">
        <v>502000</v>
      </c>
      <c r="C527" s="16" t="s">
        <v>120</v>
      </c>
      <c r="D527" s="16" t="s">
        <v>16</v>
      </c>
      <c r="E527" s="16"/>
      <c r="F527" s="16" t="s">
        <v>14</v>
      </c>
      <c r="G527" s="17" t="str">
        <f t="shared" si="15"/>
        <v xml:space="preserve"> cinq cent deux mille</v>
      </c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spans="2:20" x14ac:dyDescent="0.35">
      <c r="B528" s="16">
        <v>503000</v>
      </c>
      <c r="C528" s="16" t="s">
        <v>120</v>
      </c>
      <c r="D528" s="16" t="s">
        <v>20</v>
      </c>
      <c r="E528" s="16"/>
      <c r="F528" s="16" t="s">
        <v>14</v>
      </c>
      <c r="G528" s="17" t="str">
        <f t="shared" si="15"/>
        <v xml:space="preserve"> cinq cent trois mille</v>
      </c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spans="2:20" x14ac:dyDescent="0.35">
      <c r="B529" s="16">
        <v>504000</v>
      </c>
      <c r="C529" s="16" t="s">
        <v>120</v>
      </c>
      <c r="D529" s="16" t="s">
        <v>24</v>
      </c>
      <c r="E529" s="16"/>
      <c r="F529" s="16" t="s">
        <v>14</v>
      </c>
      <c r="G529" s="17" t="str">
        <f t="shared" si="15"/>
        <v xml:space="preserve"> cinq cent quatre mille</v>
      </c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spans="2:20" x14ac:dyDescent="0.35">
      <c r="B530" s="16">
        <v>505000</v>
      </c>
      <c r="C530" s="16" t="s">
        <v>120</v>
      </c>
      <c r="D530" s="16" t="s">
        <v>11</v>
      </c>
      <c r="E530" s="16"/>
      <c r="F530" s="16" t="s">
        <v>14</v>
      </c>
      <c r="G530" s="17" t="str">
        <f t="shared" si="15"/>
        <v xml:space="preserve"> cinq cent cinq mille</v>
      </c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spans="2:20" x14ac:dyDescent="0.35">
      <c r="B531" s="16">
        <v>506000</v>
      </c>
      <c r="C531" s="16" t="s">
        <v>120</v>
      </c>
      <c r="D531" s="16" t="s">
        <v>17</v>
      </c>
      <c r="E531" s="16"/>
      <c r="F531" s="16" t="s">
        <v>14</v>
      </c>
      <c r="G531" s="17" t="str">
        <f t="shared" si="15"/>
        <v xml:space="preserve"> cinq cent six  mille</v>
      </c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spans="2:20" x14ac:dyDescent="0.35">
      <c r="B532" s="16">
        <v>507000</v>
      </c>
      <c r="C532" s="16" t="s">
        <v>120</v>
      </c>
      <c r="D532" s="16" t="s">
        <v>21</v>
      </c>
      <c r="E532" s="16"/>
      <c r="F532" s="16" t="s">
        <v>14</v>
      </c>
      <c r="G532" s="17" t="str">
        <f t="shared" si="15"/>
        <v xml:space="preserve"> cinq cent sept mille</v>
      </c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spans="2:20" x14ac:dyDescent="0.35">
      <c r="B533" s="16">
        <v>508000</v>
      </c>
      <c r="C533" s="16" t="s">
        <v>120</v>
      </c>
      <c r="D533" s="16" t="s">
        <v>25</v>
      </c>
      <c r="E533" s="16"/>
      <c r="F533" s="16" t="s">
        <v>14</v>
      </c>
      <c r="G533" s="17" t="str">
        <f t="shared" si="15"/>
        <v xml:space="preserve"> cinq cent huit mille</v>
      </c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spans="2:20" x14ac:dyDescent="0.35">
      <c r="B534" s="16">
        <v>509000</v>
      </c>
      <c r="C534" s="16" t="s">
        <v>120</v>
      </c>
      <c r="D534" s="16" t="s">
        <v>28</v>
      </c>
      <c r="E534" s="16"/>
      <c r="F534" s="16" t="s">
        <v>14</v>
      </c>
      <c r="G534" s="17" t="str">
        <f t="shared" si="15"/>
        <v xml:space="preserve"> cinq cent neuf mille</v>
      </c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spans="2:20" x14ac:dyDescent="0.35">
      <c r="B535" s="16">
        <v>510000</v>
      </c>
      <c r="C535" s="16" t="s">
        <v>120</v>
      </c>
      <c r="D535" s="16" t="s">
        <v>39</v>
      </c>
      <c r="E535" s="16"/>
      <c r="F535" s="16" t="s">
        <v>14</v>
      </c>
      <c r="G535" s="17" t="str">
        <f t="shared" si="15"/>
        <v xml:space="preserve"> cinq cent dix mille</v>
      </c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spans="2:20" x14ac:dyDescent="0.35">
      <c r="B536" s="16">
        <v>511000</v>
      </c>
      <c r="C536" s="16" t="s">
        <v>120</v>
      </c>
      <c r="D536" s="16" t="s">
        <v>42</v>
      </c>
      <c r="E536" s="16"/>
      <c r="F536" s="16" t="s">
        <v>14</v>
      </c>
      <c r="G536" s="17" t="str">
        <f t="shared" si="15"/>
        <v xml:space="preserve"> cinq cent onze mille</v>
      </c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spans="2:20" x14ac:dyDescent="0.35">
      <c r="B537" s="16">
        <v>512000</v>
      </c>
      <c r="C537" s="16" t="s">
        <v>120</v>
      </c>
      <c r="D537" s="16" t="s">
        <v>44</v>
      </c>
      <c r="E537" s="16"/>
      <c r="F537" s="16" t="s">
        <v>14</v>
      </c>
      <c r="G537" s="17" t="str">
        <f t="shared" si="15"/>
        <v xml:space="preserve"> cinq cent douze mille</v>
      </c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spans="2:20" x14ac:dyDescent="0.35">
      <c r="B538" s="16">
        <v>513000</v>
      </c>
      <c r="C538" s="16" t="s">
        <v>120</v>
      </c>
      <c r="D538" s="16" t="s">
        <v>46</v>
      </c>
      <c r="E538" s="16"/>
      <c r="F538" s="16" t="s">
        <v>14</v>
      </c>
      <c r="G538" s="17" t="str">
        <f t="shared" si="15"/>
        <v xml:space="preserve"> cinq cent treize mille</v>
      </c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spans="2:20" x14ac:dyDescent="0.35">
      <c r="B539" s="16">
        <v>514000</v>
      </c>
      <c r="C539" s="16" t="s">
        <v>120</v>
      </c>
      <c r="D539" s="16" t="s">
        <v>48</v>
      </c>
      <c r="E539" s="16"/>
      <c r="F539" s="16" t="s">
        <v>14</v>
      </c>
      <c r="G539" s="17" t="str">
        <f t="shared" si="15"/>
        <v xml:space="preserve"> cinq cent quatorze mille</v>
      </c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spans="2:20" x14ac:dyDescent="0.35">
      <c r="B540" s="16">
        <v>515000</v>
      </c>
      <c r="C540" s="16" t="s">
        <v>120</v>
      </c>
      <c r="D540" s="16" t="s">
        <v>13</v>
      </c>
      <c r="E540" s="16"/>
      <c r="F540" s="16" t="s">
        <v>14</v>
      </c>
      <c r="G540" s="17" t="str">
        <f t="shared" si="15"/>
        <v xml:space="preserve"> cinq cent quinze mille</v>
      </c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spans="2:20" x14ac:dyDescent="0.35">
      <c r="B541" s="16">
        <v>516000</v>
      </c>
      <c r="C541" s="16" t="s">
        <v>120</v>
      </c>
      <c r="D541" s="16" t="s">
        <v>19</v>
      </c>
      <c r="E541" s="16"/>
      <c r="F541" s="16" t="s">
        <v>14</v>
      </c>
      <c r="G541" s="17" t="str">
        <f t="shared" si="15"/>
        <v xml:space="preserve"> cinq cent seize mille</v>
      </c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spans="2:20" x14ac:dyDescent="0.35">
      <c r="B542" s="16">
        <v>517000</v>
      </c>
      <c r="C542" s="16" t="s">
        <v>120</v>
      </c>
      <c r="D542" s="16" t="s">
        <v>23</v>
      </c>
      <c r="E542" s="16"/>
      <c r="F542" s="16" t="s">
        <v>14</v>
      </c>
      <c r="G542" s="17" t="str">
        <f t="shared" si="15"/>
        <v xml:space="preserve"> cinq cent dix sept mille</v>
      </c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spans="2:20" x14ac:dyDescent="0.35">
      <c r="B543" s="16">
        <v>518000</v>
      </c>
      <c r="C543" s="16" t="s">
        <v>120</v>
      </c>
      <c r="D543" s="16" t="s">
        <v>27</v>
      </c>
      <c r="E543" s="16"/>
      <c r="F543" s="16" t="s">
        <v>14</v>
      </c>
      <c r="G543" s="17" t="str">
        <f t="shared" si="15"/>
        <v xml:space="preserve"> cinq cent dix huit mille</v>
      </c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spans="2:20" x14ac:dyDescent="0.35">
      <c r="B544" s="16">
        <v>519000</v>
      </c>
      <c r="C544" s="16" t="s">
        <v>120</v>
      </c>
      <c r="D544" s="16" t="s">
        <v>30</v>
      </c>
      <c r="E544" s="16"/>
      <c r="F544" s="16" t="s">
        <v>14</v>
      </c>
      <c r="G544" s="17" t="str">
        <f t="shared" si="15"/>
        <v xml:space="preserve"> cinq cent dix neuf mille</v>
      </c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spans="2:20" x14ac:dyDescent="0.35">
      <c r="B545" s="16">
        <v>520000</v>
      </c>
      <c r="C545" s="16" t="s">
        <v>120</v>
      </c>
      <c r="D545" s="16" t="s">
        <v>10</v>
      </c>
      <c r="E545" s="16"/>
      <c r="F545" s="16" t="s">
        <v>14</v>
      </c>
      <c r="G545" s="17" t="str">
        <f t="shared" si="15"/>
        <v xml:space="preserve"> cinq cent vingt mille</v>
      </c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spans="2:20" x14ac:dyDescent="0.35">
      <c r="B546" s="16">
        <v>521000</v>
      </c>
      <c r="C546" s="16" t="s">
        <v>120</v>
      </c>
      <c r="D546" s="16" t="s">
        <v>115</v>
      </c>
      <c r="E546" s="16" t="s">
        <v>32</v>
      </c>
      <c r="F546" s="16" t="s">
        <v>14</v>
      </c>
      <c r="G546" s="17" t="str">
        <f t="shared" si="15"/>
        <v xml:space="preserve"> cinq cent vingt  et un mille</v>
      </c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spans="2:20" x14ac:dyDescent="0.35">
      <c r="B547" s="16">
        <v>522000</v>
      </c>
      <c r="C547" s="16" t="s">
        <v>120</v>
      </c>
      <c r="D547" s="16" t="s">
        <v>10</v>
      </c>
      <c r="E547" s="16" t="s">
        <v>16</v>
      </c>
      <c r="F547" s="16" t="s">
        <v>14</v>
      </c>
      <c r="G547" s="17" t="str">
        <f t="shared" si="15"/>
        <v xml:space="preserve"> cinq cent vingt deux mille</v>
      </c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spans="2:20" x14ac:dyDescent="0.35">
      <c r="B548" s="16">
        <v>523000</v>
      </c>
      <c r="C548" s="16" t="s">
        <v>120</v>
      </c>
      <c r="D548" s="16" t="s">
        <v>10</v>
      </c>
      <c r="E548" s="16" t="s">
        <v>20</v>
      </c>
      <c r="F548" s="16" t="s">
        <v>14</v>
      </c>
      <c r="G548" s="17" t="str">
        <f t="shared" si="15"/>
        <v xml:space="preserve"> cinq cent vingt trois mille</v>
      </c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spans="2:20" x14ac:dyDescent="0.35">
      <c r="B549" s="16">
        <v>524000</v>
      </c>
      <c r="C549" s="16" t="s">
        <v>120</v>
      </c>
      <c r="D549" s="16" t="s">
        <v>10</v>
      </c>
      <c r="E549" s="16" t="s">
        <v>24</v>
      </c>
      <c r="F549" s="16" t="s">
        <v>14</v>
      </c>
      <c r="G549" s="17" t="str">
        <f t="shared" si="15"/>
        <v xml:space="preserve"> cinq cent vingt quatre mille</v>
      </c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spans="2:20" x14ac:dyDescent="0.35">
      <c r="B550" s="16">
        <v>525000</v>
      </c>
      <c r="C550" s="16" t="s">
        <v>120</v>
      </c>
      <c r="D550" s="16" t="s">
        <v>10</v>
      </c>
      <c r="E550" s="16" t="s">
        <v>11</v>
      </c>
      <c r="F550" s="16" t="s">
        <v>14</v>
      </c>
      <c r="G550" s="17" t="str">
        <f t="shared" si="15"/>
        <v xml:space="preserve"> cinq cent vingt cinq mille</v>
      </c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spans="2:20" x14ac:dyDescent="0.35">
      <c r="B551" s="16">
        <v>526000</v>
      </c>
      <c r="C551" s="16" t="s">
        <v>120</v>
      </c>
      <c r="D551" s="16" t="s">
        <v>10</v>
      </c>
      <c r="E551" s="16" t="s">
        <v>116</v>
      </c>
      <c r="F551" s="16" t="s">
        <v>14</v>
      </c>
      <c r="G551" s="17" t="str">
        <f t="shared" si="15"/>
        <v xml:space="preserve"> cinq cent vingt six mille</v>
      </c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spans="2:20" x14ac:dyDescent="0.35">
      <c r="B552" s="16">
        <v>527000</v>
      </c>
      <c r="C552" s="16" t="s">
        <v>120</v>
      </c>
      <c r="D552" s="16" t="s">
        <v>10</v>
      </c>
      <c r="E552" s="16" t="s">
        <v>21</v>
      </c>
      <c r="F552" s="16" t="s">
        <v>14</v>
      </c>
      <c r="G552" s="17" t="str">
        <f t="shared" si="15"/>
        <v xml:space="preserve"> cinq cent vingt sept mille</v>
      </c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spans="2:20" x14ac:dyDescent="0.35">
      <c r="B553" s="16">
        <v>528000</v>
      </c>
      <c r="C553" s="16" t="s">
        <v>120</v>
      </c>
      <c r="D553" s="16" t="s">
        <v>10</v>
      </c>
      <c r="E553" s="16" t="s">
        <v>25</v>
      </c>
      <c r="F553" s="16" t="s">
        <v>14</v>
      </c>
      <c r="G553" s="17" t="str">
        <f t="shared" si="15"/>
        <v xml:space="preserve"> cinq cent vingt huit mille</v>
      </c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spans="2:20" x14ac:dyDescent="0.35">
      <c r="B554" s="16">
        <v>529000</v>
      </c>
      <c r="C554" s="16" t="s">
        <v>120</v>
      </c>
      <c r="D554" s="16" t="s">
        <v>10</v>
      </c>
      <c r="E554" s="16" t="s">
        <v>28</v>
      </c>
      <c r="F554" s="16" t="s">
        <v>14</v>
      </c>
      <c r="G554" s="17" t="str">
        <f t="shared" si="15"/>
        <v xml:space="preserve"> cinq cent vingt neuf mille</v>
      </c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spans="2:20" x14ac:dyDescent="0.35">
      <c r="B555" s="16">
        <v>530000</v>
      </c>
      <c r="C555" s="16" t="s">
        <v>120</v>
      </c>
      <c r="D555" s="16" t="s">
        <v>31</v>
      </c>
      <c r="E555" s="16"/>
      <c r="F555" s="16" t="s">
        <v>14</v>
      </c>
      <c r="G555" s="17" t="str">
        <f t="shared" si="15"/>
        <v xml:space="preserve"> cinq cent trente mille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spans="2:20" x14ac:dyDescent="0.35">
      <c r="B556" s="16">
        <v>531000</v>
      </c>
      <c r="C556" s="16" t="s">
        <v>120</v>
      </c>
      <c r="D556" s="16" t="s">
        <v>31</v>
      </c>
      <c r="E556" s="16" t="s">
        <v>32</v>
      </c>
      <c r="F556" s="16" t="s">
        <v>14</v>
      </c>
      <c r="G556" s="17" t="str">
        <f t="shared" si="15"/>
        <v xml:space="preserve"> cinq cent trente et un mille</v>
      </c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spans="2:20" x14ac:dyDescent="0.35">
      <c r="B557" s="16">
        <v>532000</v>
      </c>
      <c r="C557" s="16" t="s">
        <v>120</v>
      </c>
      <c r="D557" s="16" t="s">
        <v>31</v>
      </c>
      <c r="E557" s="16" t="s">
        <v>16</v>
      </c>
      <c r="F557" s="16" t="s">
        <v>14</v>
      </c>
      <c r="G557" s="17" t="str">
        <f t="shared" si="15"/>
        <v xml:space="preserve"> cinq cent trente deux mille</v>
      </c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spans="2:20" x14ac:dyDescent="0.35">
      <c r="B558" s="16">
        <v>533000</v>
      </c>
      <c r="C558" s="16" t="s">
        <v>120</v>
      </c>
      <c r="D558" s="16" t="s">
        <v>31</v>
      </c>
      <c r="E558" s="16" t="s">
        <v>20</v>
      </c>
      <c r="F558" s="16" t="s">
        <v>14</v>
      </c>
      <c r="G558" s="17" t="str">
        <f t="shared" si="15"/>
        <v xml:space="preserve"> cinq cent trente trois mille</v>
      </c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spans="2:20" x14ac:dyDescent="0.35">
      <c r="B559" s="16">
        <v>534000</v>
      </c>
      <c r="C559" s="16" t="s">
        <v>120</v>
      </c>
      <c r="D559" s="16" t="s">
        <v>31</v>
      </c>
      <c r="E559" s="16" t="s">
        <v>24</v>
      </c>
      <c r="F559" s="16" t="s">
        <v>14</v>
      </c>
      <c r="G559" s="17" t="str">
        <f t="shared" si="15"/>
        <v xml:space="preserve"> cinq cent trente quatre mille</v>
      </c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spans="2:20" x14ac:dyDescent="0.35">
      <c r="B560" s="16">
        <v>535000</v>
      </c>
      <c r="C560" s="16" t="s">
        <v>120</v>
      </c>
      <c r="D560" s="16" t="s">
        <v>31</v>
      </c>
      <c r="E560" s="16" t="s">
        <v>11</v>
      </c>
      <c r="F560" s="16" t="s">
        <v>14</v>
      </c>
      <c r="G560" s="17" t="str">
        <f t="shared" si="15"/>
        <v xml:space="preserve"> cinq cent trente cinq mille</v>
      </c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spans="2:20" x14ac:dyDescent="0.35">
      <c r="B561" s="16">
        <v>536000</v>
      </c>
      <c r="C561" s="16" t="s">
        <v>120</v>
      </c>
      <c r="D561" s="16" t="s">
        <v>31</v>
      </c>
      <c r="E561" s="16" t="s">
        <v>116</v>
      </c>
      <c r="F561" s="16" t="s">
        <v>14</v>
      </c>
      <c r="G561" s="17" t="str">
        <f t="shared" si="15"/>
        <v xml:space="preserve"> cinq cent trente six mille</v>
      </c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spans="2:20" x14ac:dyDescent="0.35">
      <c r="B562" s="16">
        <v>537000</v>
      </c>
      <c r="C562" s="16" t="s">
        <v>120</v>
      </c>
      <c r="D562" s="16" t="s">
        <v>31</v>
      </c>
      <c r="E562" s="16" t="s">
        <v>21</v>
      </c>
      <c r="F562" s="16" t="s">
        <v>14</v>
      </c>
      <c r="G562" s="17" t="str">
        <f t="shared" si="15"/>
        <v xml:space="preserve"> cinq cent trente sept mille</v>
      </c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spans="2:20" x14ac:dyDescent="0.35">
      <c r="B563" s="16">
        <v>538000</v>
      </c>
      <c r="C563" s="16" t="s">
        <v>120</v>
      </c>
      <c r="D563" s="16" t="s">
        <v>31</v>
      </c>
      <c r="E563" s="16" t="s">
        <v>25</v>
      </c>
      <c r="F563" s="16" t="s">
        <v>14</v>
      </c>
      <c r="G563" s="17" t="str">
        <f t="shared" si="15"/>
        <v xml:space="preserve"> cinq cent trente huit mille</v>
      </c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spans="2:20" x14ac:dyDescent="0.35">
      <c r="B564" s="16">
        <v>539000</v>
      </c>
      <c r="C564" s="16" t="s">
        <v>120</v>
      </c>
      <c r="D564" s="16" t="s">
        <v>31</v>
      </c>
      <c r="E564" s="16" t="s">
        <v>28</v>
      </c>
      <c r="F564" s="16" t="s">
        <v>14</v>
      </c>
      <c r="G564" s="17" t="str">
        <f t="shared" si="15"/>
        <v xml:space="preserve"> cinq cent trente neuf mille</v>
      </c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spans="2:20" x14ac:dyDescent="0.35">
      <c r="B565" s="16">
        <v>540000</v>
      </c>
      <c r="C565" s="16" t="s">
        <v>120</v>
      </c>
      <c r="D565" s="16" t="s">
        <v>51</v>
      </c>
      <c r="E565" s="16"/>
      <c r="F565" s="16" t="s">
        <v>14</v>
      </c>
      <c r="G565" s="17" t="str">
        <f t="shared" si="15"/>
        <v xml:space="preserve"> cinq cent quarante mille</v>
      </c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spans="2:20" x14ac:dyDescent="0.35">
      <c r="B566" s="16">
        <v>541000</v>
      </c>
      <c r="C566" s="16" t="s">
        <v>120</v>
      </c>
      <c r="D566" s="16" t="s">
        <v>51</v>
      </c>
      <c r="E566" s="16" t="s">
        <v>32</v>
      </c>
      <c r="F566" s="16" t="s">
        <v>14</v>
      </c>
      <c r="G566" s="17" t="str">
        <f t="shared" si="15"/>
        <v xml:space="preserve"> cinq cent quarante et un mille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spans="2:20" x14ac:dyDescent="0.35">
      <c r="B567" s="16">
        <v>542000</v>
      </c>
      <c r="C567" s="16" t="s">
        <v>120</v>
      </c>
      <c r="D567" s="16" t="s">
        <v>51</v>
      </c>
      <c r="E567" s="16" t="s">
        <v>16</v>
      </c>
      <c r="F567" s="16" t="s">
        <v>14</v>
      </c>
      <c r="G567" s="17" t="str">
        <f t="shared" si="15"/>
        <v xml:space="preserve"> cinq cent quarante deux mille</v>
      </c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spans="2:20" x14ac:dyDescent="0.35">
      <c r="B568" s="16">
        <v>543000</v>
      </c>
      <c r="C568" s="16" t="s">
        <v>120</v>
      </c>
      <c r="D568" s="16" t="s">
        <v>51</v>
      </c>
      <c r="E568" s="16" t="s">
        <v>20</v>
      </c>
      <c r="F568" s="16" t="s">
        <v>14</v>
      </c>
      <c r="G568" s="17" t="str">
        <f t="shared" si="15"/>
        <v xml:space="preserve"> cinq cent quarante trois mille</v>
      </c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spans="2:20" x14ac:dyDescent="0.35">
      <c r="B569" s="16">
        <v>544000</v>
      </c>
      <c r="C569" s="16" t="s">
        <v>120</v>
      </c>
      <c r="D569" s="16" t="s">
        <v>51</v>
      </c>
      <c r="E569" s="16" t="s">
        <v>24</v>
      </c>
      <c r="F569" s="16" t="s">
        <v>14</v>
      </c>
      <c r="G569" s="17" t="str">
        <f t="shared" si="15"/>
        <v xml:space="preserve"> cinq cent quarante quatre mille</v>
      </c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spans="2:20" x14ac:dyDescent="0.35">
      <c r="B570" s="16">
        <v>545000</v>
      </c>
      <c r="C570" s="16" t="s">
        <v>120</v>
      </c>
      <c r="D570" s="16" t="s">
        <v>51</v>
      </c>
      <c r="E570" s="16" t="s">
        <v>11</v>
      </c>
      <c r="F570" s="16" t="s">
        <v>14</v>
      </c>
      <c r="G570" s="17" t="str">
        <f t="shared" si="15"/>
        <v xml:space="preserve"> cinq cent quarante cinq mille</v>
      </c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spans="2:20" x14ac:dyDescent="0.35">
      <c r="B571" s="16">
        <v>546000</v>
      </c>
      <c r="C571" s="16" t="s">
        <v>120</v>
      </c>
      <c r="D571" s="16" t="s">
        <v>51</v>
      </c>
      <c r="E571" s="16" t="s">
        <v>116</v>
      </c>
      <c r="F571" s="16" t="s">
        <v>14</v>
      </c>
      <c r="G571" s="17" t="str">
        <f t="shared" si="15"/>
        <v xml:space="preserve"> cinq cent quarante six mille</v>
      </c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spans="2:20" x14ac:dyDescent="0.35">
      <c r="B572" s="16">
        <v>547000</v>
      </c>
      <c r="C572" s="16" t="s">
        <v>120</v>
      </c>
      <c r="D572" s="16" t="s">
        <v>51</v>
      </c>
      <c r="E572" s="16" t="s">
        <v>21</v>
      </c>
      <c r="F572" s="16" t="s">
        <v>14</v>
      </c>
      <c r="G572" s="17" t="str">
        <f t="shared" si="15"/>
        <v xml:space="preserve"> cinq cent quarante sept mille</v>
      </c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spans="2:20" x14ac:dyDescent="0.35">
      <c r="B573" s="16">
        <v>548000</v>
      </c>
      <c r="C573" s="16" t="s">
        <v>120</v>
      </c>
      <c r="D573" s="16" t="s">
        <v>51</v>
      </c>
      <c r="E573" s="16" t="s">
        <v>25</v>
      </c>
      <c r="F573" s="16" t="s">
        <v>14</v>
      </c>
      <c r="G573" s="17" t="str">
        <f t="shared" si="15"/>
        <v xml:space="preserve"> cinq cent quarante huit mille</v>
      </c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spans="2:20" x14ac:dyDescent="0.35">
      <c r="B574" s="16">
        <v>549000</v>
      </c>
      <c r="C574" s="16" t="s">
        <v>120</v>
      </c>
      <c r="D574" s="16" t="s">
        <v>51</v>
      </c>
      <c r="E574" s="16" t="s">
        <v>28</v>
      </c>
      <c r="F574" s="16" t="s">
        <v>14</v>
      </c>
      <c r="G574" s="17" t="str">
        <f t="shared" si="15"/>
        <v xml:space="preserve"> cinq cent quarante neuf mille</v>
      </c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spans="2:20" x14ac:dyDescent="0.35">
      <c r="B575" s="16">
        <v>550000</v>
      </c>
      <c r="C575" s="16" t="s">
        <v>120</v>
      </c>
      <c r="D575" s="16" t="s">
        <v>61</v>
      </c>
      <c r="E575" s="16"/>
      <c r="F575" s="16" t="s">
        <v>14</v>
      </c>
      <c r="G575" s="17" t="str">
        <f t="shared" ref="G575:G638" si="16">CONCATENATE(C575,D575,E575,F575)</f>
        <v xml:space="preserve"> cinq cent cinquante mille</v>
      </c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spans="2:20" x14ac:dyDescent="0.35">
      <c r="B576" s="16">
        <v>551000</v>
      </c>
      <c r="C576" s="16" t="s">
        <v>120</v>
      </c>
      <c r="D576" s="16" t="s">
        <v>61</v>
      </c>
      <c r="E576" s="16" t="s">
        <v>32</v>
      </c>
      <c r="F576" s="16" t="s">
        <v>14</v>
      </c>
      <c r="G576" s="17" t="str">
        <f t="shared" si="16"/>
        <v xml:space="preserve"> cinq cent cinquante et un mille</v>
      </c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spans="2:20" x14ac:dyDescent="0.35">
      <c r="B577" s="16">
        <v>552000</v>
      </c>
      <c r="C577" s="16" t="s">
        <v>120</v>
      </c>
      <c r="D577" s="16" t="s">
        <v>61</v>
      </c>
      <c r="E577" s="16" t="s">
        <v>16</v>
      </c>
      <c r="F577" s="16" t="s">
        <v>14</v>
      </c>
      <c r="G577" s="17" t="str">
        <f t="shared" si="16"/>
        <v xml:space="preserve"> cinq cent cinquante deux mille</v>
      </c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spans="2:20" x14ac:dyDescent="0.35">
      <c r="B578" s="16">
        <v>553000</v>
      </c>
      <c r="C578" s="16" t="s">
        <v>120</v>
      </c>
      <c r="D578" s="16" t="s">
        <v>61</v>
      </c>
      <c r="E578" s="16" t="s">
        <v>20</v>
      </c>
      <c r="F578" s="16" t="s">
        <v>14</v>
      </c>
      <c r="G578" s="17" t="str">
        <f t="shared" si="16"/>
        <v xml:space="preserve"> cinq cent cinquante trois mille</v>
      </c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spans="2:20" x14ac:dyDescent="0.35">
      <c r="B579" s="16">
        <v>554000</v>
      </c>
      <c r="C579" s="16" t="s">
        <v>120</v>
      </c>
      <c r="D579" s="16" t="s">
        <v>61</v>
      </c>
      <c r="E579" s="16" t="s">
        <v>24</v>
      </c>
      <c r="F579" s="16" t="s">
        <v>14</v>
      </c>
      <c r="G579" s="17" t="str">
        <f t="shared" si="16"/>
        <v xml:space="preserve"> cinq cent cinquante quatre mille</v>
      </c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spans="2:20" x14ac:dyDescent="0.35">
      <c r="B580" s="16">
        <v>555000</v>
      </c>
      <c r="C580" s="16" t="s">
        <v>120</v>
      </c>
      <c r="D580" s="16" t="s">
        <v>61</v>
      </c>
      <c r="E580" s="16" t="s">
        <v>11</v>
      </c>
      <c r="F580" s="16" t="s">
        <v>14</v>
      </c>
      <c r="G580" s="17" t="str">
        <f t="shared" si="16"/>
        <v xml:space="preserve"> cinq cent cinquante cinq mille</v>
      </c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spans="2:20" x14ac:dyDescent="0.35">
      <c r="B581" s="16">
        <v>556000</v>
      </c>
      <c r="C581" s="16" t="s">
        <v>120</v>
      </c>
      <c r="D581" s="16" t="s">
        <v>61</v>
      </c>
      <c r="E581" s="16" t="s">
        <v>116</v>
      </c>
      <c r="F581" s="16" t="s">
        <v>14</v>
      </c>
      <c r="G581" s="17" t="str">
        <f t="shared" si="16"/>
        <v xml:space="preserve"> cinq cent cinquante six mille</v>
      </c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spans="2:20" x14ac:dyDescent="0.35">
      <c r="B582" s="16">
        <v>557000</v>
      </c>
      <c r="C582" s="16" t="s">
        <v>120</v>
      </c>
      <c r="D582" s="16" t="s">
        <v>61</v>
      </c>
      <c r="E582" s="16" t="s">
        <v>21</v>
      </c>
      <c r="F582" s="16" t="s">
        <v>14</v>
      </c>
      <c r="G582" s="17" t="str">
        <f t="shared" si="16"/>
        <v xml:space="preserve"> cinq cent cinquante sept mille</v>
      </c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spans="2:20" x14ac:dyDescent="0.35">
      <c r="B583" s="16">
        <v>558000</v>
      </c>
      <c r="C583" s="16" t="s">
        <v>120</v>
      </c>
      <c r="D583" s="16" t="s">
        <v>61</v>
      </c>
      <c r="E583" s="16" t="s">
        <v>25</v>
      </c>
      <c r="F583" s="16" t="s">
        <v>14</v>
      </c>
      <c r="G583" s="17" t="str">
        <f t="shared" si="16"/>
        <v xml:space="preserve"> cinq cent cinquante huit mille</v>
      </c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spans="2:20" x14ac:dyDescent="0.35">
      <c r="B584" s="16">
        <v>559000</v>
      </c>
      <c r="C584" s="16" t="s">
        <v>120</v>
      </c>
      <c r="D584" s="16" t="s">
        <v>61</v>
      </c>
      <c r="E584" s="16" t="s">
        <v>28</v>
      </c>
      <c r="F584" s="16" t="s">
        <v>14</v>
      </c>
      <c r="G584" s="17" t="str">
        <f t="shared" si="16"/>
        <v xml:space="preserve"> cinq cent cinquante neuf mille</v>
      </c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spans="2:20" x14ac:dyDescent="0.35">
      <c r="B585" s="16">
        <v>560000</v>
      </c>
      <c r="C585" s="16" t="s">
        <v>120</v>
      </c>
      <c r="D585" s="16" t="s">
        <v>71</v>
      </c>
      <c r="E585" s="16"/>
      <c r="F585" s="16" t="s">
        <v>14</v>
      </c>
      <c r="G585" s="17" t="str">
        <f t="shared" si="16"/>
        <v xml:space="preserve"> cinq cent soixante mille</v>
      </c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spans="2:20" x14ac:dyDescent="0.35">
      <c r="B586" s="16">
        <v>561000</v>
      </c>
      <c r="C586" s="16" t="s">
        <v>120</v>
      </c>
      <c r="D586" s="16" t="s">
        <v>71</v>
      </c>
      <c r="E586" s="16" t="s">
        <v>32</v>
      </c>
      <c r="F586" s="16" t="s">
        <v>14</v>
      </c>
      <c r="G586" s="17" t="str">
        <f t="shared" si="16"/>
        <v xml:space="preserve"> cinq cent soixante et un mille</v>
      </c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spans="2:20" x14ac:dyDescent="0.35">
      <c r="B587" s="16">
        <v>562000</v>
      </c>
      <c r="C587" s="16" t="s">
        <v>120</v>
      </c>
      <c r="D587" s="16" t="s">
        <v>71</v>
      </c>
      <c r="E587" s="16" t="s">
        <v>16</v>
      </c>
      <c r="F587" s="16" t="s">
        <v>14</v>
      </c>
      <c r="G587" s="17" t="str">
        <f t="shared" si="16"/>
        <v xml:space="preserve"> cinq cent soixante deux mille</v>
      </c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spans="2:20" x14ac:dyDescent="0.35">
      <c r="B588" s="16">
        <v>563000</v>
      </c>
      <c r="C588" s="16" t="s">
        <v>120</v>
      </c>
      <c r="D588" s="16" t="s">
        <v>71</v>
      </c>
      <c r="E588" s="16" t="s">
        <v>20</v>
      </c>
      <c r="F588" s="16" t="s">
        <v>14</v>
      </c>
      <c r="G588" s="17" t="str">
        <f t="shared" si="16"/>
        <v xml:space="preserve"> cinq cent soixante trois mille</v>
      </c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spans="2:20" x14ac:dyDescent="0.35">
      <c r="B589" s="16">
        <v>564000</v>
      </c>
      <c r="C589" s="16" t="s">
        <v>120</v>
      </c>
      <c r="D589" s="16" t="s">
        <v>71</v>
      </c>
      <c r="E589" s="16" t="s">
        <v>24</v>
      </c>
      <c r="F589" s="16" t="s">
        <v>14</v>
      </c>
      <c r="G589" s="17" t="str">
        <f t="shared" si="16"/>
        <v xml:space="preserve"> cinq cent soixante quatre mille</v>
      </c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spans="2:20" x14ac:dyDescent="0.35">
      <c r="B590" s="16">
        <v>565000</v>
      </c>
      <c r="C590" s="16" t="s">
        <v>120</v>
      </c>
      <c r="D590" s="16" t="s">
        <v>71</v>
      </c>
      <c r="E590" s="16" t="s">
        <v>11</v>
      </c>
      <c r="F590" s="16" t="s">
        <v>14</v>
      </c>
      <c r="G590" s="17" t="str">
        <f t="shared" si="16"/>
        <v xml:space="preserve"> cinq cent soixante cinq mille</v>
      </c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spans="2:20" x14ac:dyDescent="0.35">
      <c r="B591" s="16">
        <v>566000</v>
      </c>
      <c r="C591" s="16" t="s">
        <v>120</v>
      </c>
      <c r="D591" s="16" t="s">
        <v>71</v>
      </c>
      <c r="E591" s="16" t="s">
        <v>116</v>
      </c>
      <c r="F591" s="16" t="s">
        <v>14</v>
      </c>
      <c r="G591" s="17" t="str">
        <f t="shared" si="16"/>
        <v xml:space="preserve"> cinq cent soixante six mille</v>
      </c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spans="2:20" x14ac:dyDescent="0.35">
      <c r="B592" s="16">
        <v>567000</v>
      </c>
      <c r="C592" s="16" t="s">
        <v>120</v>
      </c>
      <c r="D592" s="16" t="s">
        <v>71</v>
      </c>
      <c r="E592" s="16" t="s">
        <v>21</v>
      </c>
      <c r="F592" s="16" t="s">
        <v>14</v>
      </c>
      <c r="G592" s="17" t="str">
        <f t="shared" si="16"/>
        <v xml:space="preserve"> cinq cent soixante sept mille</v>
      </c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spans="2:20" x14ac:dyDescent="0.35">
      <c r="B593" s="16">
        <v>568000</v>
      </c>
      <c r="C593" s="16" t="s">
        <v>120</v>
      </c>
      <c r="D593" s="16" t="s">
        <v>71</v>
      </c>
      <c r="E593" s="16" t="s">
        <v>25</v>
      </c>
      <c r="F593" s="16" t="s">
        <v>14</v>
      </c>
      <c r="G593" s="17" t="str">
        <f t="shared" si="16"/>
        <v xml:space="preserve"> cinq cent soixante huit mille</v>
      </c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spans="2:20" x14ac:dyDescent="0.35">
      <c r="B594" s="16">
        <v>569000</v>
      </c>
      <c r="C594" s="16" t="s">
        <v>120</v>
      </c>
      <c r="D594" s="16" t="s">
        <v>71</v>
      </c>
      <c r="E594" s="16" t="s">
        <v>28</v>
      </c>
      <c r="F594" s="16" t="s">
        <v>14</v>
      </c>
      <c r="G594" s="17" t="str">
        <f t="shared" si="16"/>
        <v xml:space="preserve"> cinq cent soixante neuf mille</v>
      </c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spans="2:20" x14ac:dyDescent="0.35">
      <c r="B595" s="16">
        <v>570000</v>
      </c>
      <c r="C595" s="16" t="s">
        <v>120</v>
      </c>
      <c r="D595" s="16" t="s">
        <v>71</v>
      </c>
      <c r="E595" s="16" t="s">
        <v>39</v>
      </c>
      <c r="F595" s="16" t="s">
        <v>14</v>
      </c>
      <c r="G595" s="17" t="str">
        <f t="shared" si="16"/>
        <v xml:space="preserve"> cinq cent soixante dix mille</v>
      </c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spans="2:20" x14ac:dyDescent="0.35">
      <c r="B596" s="16">
        <v>571000</v>
      </c>
      <c r="C596" s="16" t="s">
        <v>120</v>
      </c>
      <c r="D596" s="16" t="s">
        <v>71</v>
      </c>
      <c r="E596" s="16" t="s">
        <v>82</v>
      </c>
      <c r="F596" s="16" t="s">
        <v>14</v>
      </c>
      <c r="G596" s="17" t="str">
        <f t="shared" si="16"/>
        <v xml:space="preserve"> cinq cent soixante et onze mille</v>
      </c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spans="2:20" x14ac:dyDescent="0.35">
      <c r="B597" s="16">
        <v>572000</v>
      </c>
      <c r="C597" s="16" t="s">
        <v>120</v>
      </c>
      <c r="D597" s="16" t="s">
        <v>71</v>
      </c>
      <c r="E597" s="16" t="s">
        <v>44</v>
      </c>
      <c r="F597" s="16" t="s">
        <v>14</v>
      </c>
      <c r="G597" s="17" t="str">
        <f t="shared" si="16"/>
        <v xml:space="preserve"> cinq cent soixante douze mille</v>
      </c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spans="2:20" x14ac:dyDescent="0.35">
      <c r="B598" s="16">
        <v>573000</v>
      </c>
      <c r="C598" s="16" t="s">
        <v>120</v>
      </c>
      <c r="D598" s="16" t="s">
        <v>71</v>
      </c>
      <c r="E598" s="16" t="s">
        <v>46</v>
      </c>
      <c r="F598" s="16" t="s">
        <v>14</v>
      </c>
      <c r="G598" s="17" t="str">
        <f t="shared" si="16"/>
        <v xml:space="preserve"> cinq cent soixante treize mille</v>
      </c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spans="2:20" x14ac:dyDescent="0.35">
      <c r="B599" s="16">
        <v>574000</v>
      </c>
      <c r="C599" s="16" t="s">
        <v>120</v>
      </c>
      <c r="D599" s="16" t="s">
        <v>71</v>
      </c>
      <c r="E599" s="16" t="s">
        <v>48</v>
      </c>
      <c r="F599" s="16" t="s">
        <v>14</v>
      </c>
      <c r="G599" s="17" t="str">
        <f t="shared" si="16"/>
        <v xml:space="preserve"> cinq cent soixante quatorze mille</v>
      </c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spans="2:20" x14ac:dyDescent="0.35">
      <c r="B600" s="16">
        <v>575000</v>
      </c>
      <c r="C600" s="16" t="s">
        <v>120</v>
      </c>
      <c r="D600" s="16" t="s">
        <v>71</v>
      </c>
      <c r="E600" s="16" t="s">
        <v>13</v>
      </c>
      <c r="F600" s="16" t="s">
        <v>14</v>
      </c>
      <c r="G600" s="17" t="str">
        <f t="shared" si="16"/>
        <v xml:space="preserve"> cinq cent soixante quinze mille</v>
      </c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spans="2:20" x14ac:dyDescent="0.35">
      <c r="B601" s="16">
        <v>576000</v>
      </c>
      <c r="C601" s="16" t="s">
        <v>120</v>
      </c>
      <c r="D601" s="16" t="s">
        <v>71</v>
      </c>
      <c r="E601" s="16" t="s">
        <v>19</v>
      </c>
      <c r="F601" s="16" t="s">
        <v>14</v>
      </c>
      <c r="G601" s="17" t="str">
        <f t="shared" si="16"/>
        <v xml:space="preserve"> cinq cent soixante seize mille</v>
      </c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spans="2:20" x14ac:dyDescent="0.35">
      <c r="B602" s="16">
        <v>577000</v>
      </c>
      <c r="C602" s="16" t="s">
        <v>120</v>
      </c>
      <c r="D602" s="16" t="s">
        <v>71</v>
      </c>
      <c r="E602" s="16" t="s">
        <v>23</v>
      </c>
      <c r="F602" s="16" t="s">
        <v>14</v>
      </c>
      <c r="G602" s="17" t="str">
        <f t="shared" si="16"/>
        <v xml:space="preserve"> cinq cent soixante dix sept mille</v>
      </c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spans="2:20" x14ac:dyDescent="0.35">
      <c r="B603" s="16">
        <v>578000</v>
      </c>
      <c r="C603" s="16" t="s">
        <v>120</v>
      </c>
      <c r="D603" s="16" t="s">
        <v>71</v>
      </c>
      <c r="E603" s="16" t="s">
        <v>27</v>
      </c>
      <c r="F603" s="16" t="s">
        <v>14</v>
      </c>
      <c r="G603" s="17" t="str">
        <f t="shared" si="16"/>
        <v xml:space="preserve"> cinq cent soixante dix huit mille</v>
      </c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spans="2:20" x14ac:dyDescent="0.35">
      <c r="B604" s="16">
        <v>579000</v>
      </c>
      <c r="C604" s="16" t="s">
        <v>120</v>
      </c>
      <c r="D604" s="16" t="s">
        <v>71</v>
      </c>
      <c r="E604" s="16" t="s">
        <v>30</v>
      </c>
      <c r="F604" s="16" t="s">
        <v>14</v>
      </c>
      <c r="G604" s="17" t="str">
        <f t="shared" si="16"/>
        <v xml:space="preserve"> cinq cent soixante dix neuf mille</v>
      </c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spans="2:20" x14ac:dyDescent="0.35">
      <c r="B605" s="16">
        <v>580000</v>
      </c>
      <c r="C605" s="16" t="s">
        <v>120</v>
      </c>
      <c r="D605" s="16" t="s">
        <v>92</v>
      </c>
      <c r="E605" s="16"/>
      <c r="F605" s="16" t="s">
        <v>14</v>
      </c>
      <c r="G605" s="17" t="str">
        <f t="shared" si="16"/>
        <v xml:space="preserve"> cinq cent quatre vingt mille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spans="2:20" x14ac:dyDescent="0.35">
      <c r="B606" s="16">
        <v>581000</v>
      </c>
      <c r="C606" s="16" t="s">
        <v>120</v>
      </c>
      <c r="D606" s="16" t="s">
        <v>92</v>
      </c>
      <c r="E606" s="16" t="s">
        <v>32</v>
      </c>
      <c r="F606" s="16" t="s">
        <v>14</v>
      </c>
      <c r="G606" s="17" t="str">
        <f t="shared" si="16"/>
        <v xml:space="preserve"> cinq cent quatre vingt et un mille</v>
      </c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spans="2:20" x14ac:dyDescent="0.35">
      <c r="B607" s="16">
        <v>582000</v>
      </c>
      <c r="C607" s="16" t="s">
        <v>120</v>
      </c>
      <c r="D607" s="16" t="s">
        <v>92</v>
      </c>
      <c r="E607" s="16" t="s">
        <v>16</v>
      </c>
      <c r="F607" s="16" t="s">
        <v>14</v>
      </c>
      <c r="G607" s="17" t="str">
        <f t="shared" si="16"/>
        <v xml:space="preserve"> cinq cent quatre vingt deux mille</v>
      </c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spans="2:20" x14ac:dyDescent="0.35">
      <c r="B608" s="16">
        <v>583000</v>
      </c>
      <c r="C608" s="16" t="s">
        <v>120</v>
      </c>
      <c r="D608" s="16" t="s">
        <v>92</v>
      </c>
      <c r="E608" s="16" t="s">
        <v>20</v>
      </c>
      <c r="F608" s="16" t="s">
        <v>14</v>
      </c>
      <c r="G608" s="17" t="str">
        <f t="shared" si="16"/>
        <v xml:space="preserve"> cinq cent quatre vingt trois mille</v>
      </c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spans="2:20" x14ac:dyDescent="0.35">
      <c r="B609" s="16">
        <v>584000</v>
      </c>
      <c r="C609" s="16" t="s">
        <v>120</v>
      </c>
      <c r="D609" s="16" t="s">
        <v>92</v>
      </c>
      <c r="E609" s="16" t="s">
        <v>24</v>
      </c>
      <c r="F609" s="16" t="s">
        <v>14</v>
      </c>
      <c r="G609" s="17" t="str">
        <f t="shared" si="16"/>
        <v xml:space="preserve"> cinq cent quatre vingt quatre mille</v>
      </c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spans="2:20" x14ac:dyDescent="0.35">
      <c r="B610" s="16">
        <v>585000</v>
      </c>
      <c r="C610" s="16" t="s">
        <v>120</v>
      </c>
      <c r="D610" s="16" t="s">
        <v>92</v>
      </c>
      <c r="E610" s="16" t="s">
        <v>11</v>
      </c>
      <c r="F610" s="16" t="s">
        <v>14</v>
      </c>
      <c r="G610" s="17" t="str">
        <f t="shared" si="16"/>
        <v xml:space="preserve"> cinq cent quatre vingt cinq mille</v>
      </c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spans="2:20" x14ac:dyDescent="0.35">
      <c r="B611" s="16">
        <v>586000</v>
      </c>
      <c r="C611" s="16" t="s">
        <v>120</v>
      </c>
      <c r="D611" s="16" t="s">
        <v>92</v>
      </c>
      <c r="E611" s="16" t="s">
        <v>116</v>
      </c>
      <c r="F611" s="16" t="s">
        <v>14</v>
      </c>
      <c r="G611" s="17" t="str">
        <f t="shared" si="16"/>
        <v xml:space="preserve"> cinq cent quatre vingt six mille</v>
      </c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spans="2:20" x14ac:dyDescent="0.35">
      <c r="B612" s="16">
        <v>587000</v>
      </c>
      <c r="C612" s="16" t="s">
        <v>120</v>
      </c>
      <c r="D612" s="16" t="s">
        <v>92</v>
      </c>
      <c r="E612" s="16" t="s">
        <v>21</v>
      </c>
      <c r="F612" s="16" t="s">
        <v>14</v>
      </c>
      <c r="G612" s="17" t="str">
        <f t="shared" si="16"/>
        <v xml:space="preserve"> cinq cent quatre vingt sept mille</v>
      </c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spans="2:20" x14ac:dyDescent="0.35">
      <c r="B613" s="16">
        <v>588000</v>
      </c>
      <c r="C613" s="16" t="s">
        <v>120</v>
      </c>
      <c r="D613" s="16" t="s">
        <v>92</v>
      </c>
      <c r="E613" s="16" t="s">
        <v>25</v>
      </c>
      <c r="F613" s="16" t="s">
        <v>14</v>
      </c>
      <c r="G613" s="17" t="str">
        <f t="shared" si="16"/>
        <v xml:space="preserve"> cinq cent quatre vingt huit mille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spans="2:20" x14ac:dyDescent="0.35">
      <c r="B614" s="16">
        <v>589000</v>
      </c>
      <c r="C614" s="16" t="s">
        <v>120</v>
      </c>
      <c r="D614" s="16" t="s">
        <v>92</v>
      </c>
      <c r="E614" s="16" t="s">
        <v>28</v>
      </c>
      <c r="F614" s="16" t="s">
        <v>14</v>
      </c>
      <c r="G614" s="17" t="str">
        <f t="shared" si="16"/>
        <v xml:space="preserve"> cinq cent quatre vingt neuf mille</v>
      </c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spans="2:20" x14ac:dyDescent="0.35">
      <c r="B615" s="16">
        <v>590000</v>
      </c>
      <c r="C615" s="16" t="s">
        <v>120</v>
      </c>
      <c r="D615" s="16" t="s">
        <v>92</v>
      </c>
      <c r="E615" s="16" t="s">
        <v>39</v>
      </c>
      <c r="F615" s="16" t="s">
        <v>14</v>
      </c>
      <c r="G615" s="17" t="str">
        <f t="shared" si="16"/>
        <v xml:space="preserve"> cinq cent quatre vingt dix mille</v>
      </c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spans="2:20" x14ac:dyDescent="0.35">
      <c r="B616" s="16">
        <v>591000</v>
      </c>
      <c r="C616" s="16" t="s">
        <v>120</v>
      </c>
      <c r="D616" s="16" t="s">
        <v>92</v>
      </c>
      <c r="E616" s="16" t="s">
        <v>42</v>
      </c>
      <c r="F616" s="16" t="s">
        <v>14</v>
      </c>
      <c r="G616" s="17" t="str">
        <f t="shared" si="16"/>
        <v xml:space="preserve"> cinq cent quatre vingt onze mille</v>
      </c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spans="2:20" x14ac:dyDescent="0.35">
      <c r="B617" s="16">
        <v>592000</v>
      </c>
      <c r="C617" s="16" t="s">
        <v>120</v>
      </c>
      <c r="D617" s="16" t="s">
        <v>92</v>
      </c>
      <c r="E617" s="16" t="s">
        <v>44</v>
      </c>
      <c r="F617" s="16" t="s">
        <v>14</v>
      </c>
      <c r="G617" s="17" t="str">
        <f t="shared" si="16"/>
        <v xml:space="preserve"> cinq cent quatre vingt douze mille</v>
      </c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spans="2:20" x14ac:dyDescent="0.35">
      <c r="B618" s="16">
        <v>593000</v>
      </c>
      <c r="C618" s="16" t="s">
        <v>120</v>
      </c>
      <c r="D618" s="16" t="s">
        <v>92</v>
      </c>
      <c r="E618" s="16" t="s">
        <v>46</v>
      </c>
      <c r="F618" s="16" t="s">
        <v>14</v>
      </c>
      <c r="G618" s="17" t="str">
        <f t="shared" si="16"/>
        <v xml:space="preserve"> cinq cent quatre vingt treize mille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spans="2:20" x14ac:dyDescent="0.35">
      <c r="B619" s="16">
        <v>594000</v>
      </c>
      <c r="C619" s="16" t="s">
        <v>120</v>
      </c>
      <c r="D619" s="16" t="s">
        <v>92</v>
      </c>
      <c r="E619" s="16" t="s">
        <v>48</v>
      </c>
      <c r="F619" s="16" t="s">
        <v>14</v>
      </c>
      <c r="G619" s="17" t="str">
        <f t="shared" si="16"/>
        <v xml:space="preserve"> cinq cent quatre vingt quatorze mille</v>
      </c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spans="2:20" x14ac:dyDescent="0.35">
      <c r="B620" s="16">
        <v>595000</v>
      </c>
      <c r="C620" s="16" t="s">
        <v>120</v>
      </c>
      <c r="D620" s="16" t="s">
        <v>92</v>
      </c>
      <c r="E620" s="16" t="s">
        <v>13</v>
      </c>
      <c r="F620" s="16" t="s">
        <v>14</v>
      </c>
      <c r="G620" s="17" t="str">
        <f t="shared" si="16"/>
        <v xml:space="preserve"> cinq cent quatre vingt quinze mille</v>
      </c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spans="2:20" x14ac:dyDescent="0.35">
      <c r="B621" s="16">
        <v>596000</v>
      </c>
      <c r="C621" s="16" t="s">
        <v>120</v>
      </c>
      <c r="D621" s="16" t="s">
        <v>92</v>
      </c>
      <c r="E621" s="16" t="s">
        <v>19</v>
      </c>
      <c r="F621" s="16" t="s">
        <v>14</v>
      </c>
      <c r="G621" s="17" t="str">
        <f t="shared" si="16"/>
        <v xml:space="preserve"> cinq cent quatre vingt seize mille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spans="2:20" x14ac:dyDescent="0.35">
      <c r="B622" s="16">
        <v>597000</v>
      </c>
      <c r="C622" s="16" t="s">
        <v>120</v>
      </c>
      <c r="D622" s="16" t="s">
        <v>92</v>
      </c>
      <c r="E622" s="16" t="s">
        <v>23</v>
      </c>
      <c r="F622" s="16" t="s">
        <v>14</v>
      </c>
      <c r="G622" s="17" t="str">
        <f t="shared" si="16"/>
        <v xml:space="preserve"> cinq cent quatre vingt dix sept mille</v>
      </c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spans="2:20" x14ac:dyDescent="0.35">
      <c r="B623" s="16">
        <v>598000</v>
      </c>
      <c r="C623" s="16" t="s">
        <v>120</v>
      </c>
      <c r="D623" s="16" t="s">
        <v>92</v>
      </c>
      <c r="E623" s="16" t="s">
        <v>27</v>
      </c>
      <c r="F623" s="16" t="s">
        <v>14</v>
      </c>
      <c r="G623" s="17" t="str">
        <f t="shared" si="16"/>
        <v xml:space="preserve"> cinq cent quatre vingt dix huit mille</v>
      </c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spans="2:20" x14ac:dyDescent="0.35">
      <c r="B624" s="16">
        <v>599000</v>
      </c>
      <c r="C624" s="16" t="s">
        <v>120</v>
      </c>
      <c r="D624" s="16" t="s">
        <v>92</v>
      </c>
      <c r="E624" s="16" t="s">
        <v>30</v>
      </c>
      <c r="F624" s="16" t="s">
        <v>14</v>
      </c>
      <c r="G624" s="17" t="str">
        <f t="shared" si="16"/>
        <v xml:space="preserve"> cinq cent quatre vingt dix neuf mille</v>
      </c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spans="2:20" x14ac:dyDescent="0.35">
      <c r="B625" s="16">
        <v>600000</v>
      </c>
      <c r="C625" s="16" t="s">
        <v>121</v>
      </c>
      <c r="D625" s="16"/>
      <c r="E625" s="16"/>
      <c r="F625" s="16" t="s">
        <v>14</v>
      </c>
      <c r="G625" s="17" t="str">
        <f t="shared" si="16"/>
        <v xml:space="preserve"> six cent mille</v>
      </c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spans="2:20" x14ac:dyDescent="0.35">
      <c r="B626" s="16">
        <v>601000</v>
      </c>
      <c r="C626" s="16" t="s">
        <v>121</v>
      </c>
      <c r="D626" s="16" t="s">
        <v>114</v>
      </c>
      <c r="E626" s="16"/>
      <c r="F626" s="16" t="s">
        <v>14</v>
      </c>
      <c r="G626" s="17" t="str">
        <f t="shared" si="16"/>
        <v xml:space="preserve"> six cent un mille</v>
      </c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spans="2:20" x14ac:dyDescent="0.35">
      <c r="B627" s="16">
        <v>602000</v>
      </c>
      <c r="C627" s="16" t="s">
        <v>121</v>
      </c>
      <c r="D627" s="16" t="s">
        <v>16</v>
      </c>
      <c r="E627" s="16"/>
      <c r="F627" s="16" t="s">
        <v>14</v>
      </c>
      <c r="G627" s="17" t="str">
        <f t="shared" si="16"/>
        <v xml:space="preserve"> six cent deux mille</v>
      </c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spans="2:20" x14ac:dyDescent="0.35">
      <c r="B628" s="16">
        <v>603000</v>
      </c>
      <c r="C628" s="16" t="s">
        <v>121</v>
      </c>
      <c r="D628" s="16" t="s">
        <v>20</v>
      </c>
      <c r="E628" s="16"/>
      <c r="F628" s="16" t="s">
        <v>14</v>
      </c>
      <c r="G628" s="17" t="str">
        <f t="shared" si="16"/>
        <v xml:space="preserve"> six cent trois mille</v>
      </c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spans="2:20" x14ac:dyDescent="0.35">
      <c r="B629" s="16">
        <v>604000</v>
      </c>
      <c r="C629" s="16" t="s">
        <v>121</v>
      </c>
      <c r="D629" s="16" t="s">
        <v>24</v>
      </c>
      <c r="E629" s="16"/>
      <c r="F629" s="16" t="s">
        <v>14</v>
      </c>
      <c r="G629" s="17" t="str">
        <f t="shared" si="16"/>
        <v xml:space="preserve"> six cent quatre mille</v>
      </c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spans="2:20" x14ac:dyDescent="0.35">
      <c r="B630" s="16">
        <v>605000</v>
      </c>
      <c r="C630" s="16" t="s">
        <v>121</v>
      </c>
      <c r="D630" s="16" t="s">
        <v>11</v>
      </c>
      <c r="E630" s="16"/>
      <c r="F630" s="16" t="s">
        <v>14</v>
      </c>
      <c r="G630" s="17" t="str">
        <f t="shared" si="16"/>
        <v xml:space="preserve"> six cent cinq mille</v>
      </c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spans="2:20" x14ac:dyDescent="0.35">
      <c r="B631" s="16">
        <v>606000</v>
      </c>
      <c r="C631" s="16" t="s">
        <v>121</v>
      </c>
      <c r="D631" s="16" t="s">
        <v>17</v>
      </c>
      <c r="E631" s="16"/>
      <c r="F631" s="16" t="s">
        <v>14</v>
      </c>
      <c r="G631" s="17" t="str">
        <f t="shared" si="16"/>
        <v xml:space="preserve"> six cent six  mille</v>
      </c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spans="2:20" x14ac:dyDescent="0.35">
      <c r="B632" s="16">
        <v>607000</v>
      </c>
      <c r="C632" s="16" t="s">
        <v>121</v>
      </c>
      <c r="D632" s="16" t="s">
        <v>21</v>
      </c>
      <c r="E632" s="16"/>
      <c r="F632" s="16" t="s">
        <v>14</v>
      </c>
      <c r="G632" s="17" t="str">
        <f t="shared" si="16"/>
        <v xml:space="preserve"> six cent sept mille</v>
      </c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spans="2:20" x14ac:dyDescent="0.35">
      <c r="B633" s="16">
        <v>608000</v>
      </c>
      <c r="C633" s="16" t="s">
        <v>121</v>
      </c>
      <c r="D633" s="16" t="s">
        <v>25</v>
      </c>
      <c r="E633" s="16"/>
      <c r="F633" s="16" t="s">
        <v>14</v>
      </c>
      <c r="G633" s="17" t="str">
        <f t="shared" si="16"/>
        <v xml:space="preserve"> six cent huit mille</v>
      </c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spans="2:20" x14ac:dyDescent="0.35">
      <c r="B634" s="16">
        <v>609000</v>
      </c>
      <c r="C634" s="16" t="s">
        <v>121</v>
      </c>
      <c r="D634" s="16" t="s">
        <v>28</v>
      </c>
      <c r="E634" s="16"/>
      <c r="F634" s="16" t="s">
        <v>14</v>
      </c>
      <c r="G634" s="17" t="str">
        <f t="shared" si="16"/>
        <v xml:space="preserve"> six cent neuf mille</v>
      </c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spans="2:20" x14ac:dyDescent="0.35">
      <c r="B635" s="16">
        <v>610000</v>
      </c>
      <c r="C635" s="16" t="s">
        <v>121</v>
      </c>
      <c r="D635" s="16" t="s">
        <v>39</v>
      </c>
      <c r="E635" s="16"/>
      <c r="F635" s="16" t="s">
        <v>14</v>
      </c>
      <c r="G635" s="17" t="str">
        <f t="shared" si="16"/>
        <v xml:space="preserve"> six cent dix mille</v>
      </c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spans="2:20" x14ac:dyDescent="0.35">
      <c r="B636" s="16">
        <v>611000</v>
      </c>
      <c r="C636" s="16" t="s">
        <v>121</v>
      </c>
      <c r="D636" s="16" t="s">
        <v>42</v>
      </c>
      <c r="E636" s="16"/>
      <c r="F636" s="16" t="s">
        <v>14</v>
      </c>
      <c r="G636" s="17" t="str">
        <f t="shared" si="16"/>
        <v xml:space="preserve"> six cent onze mille</v>
      </c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spans="2:20" x14ac:dyDescent="0.35">
      <c r="B637" s="16">
        <v>612000</v>
      </c>
      <c r="C637" s="16" t="s">
        <v>121</v>
      </c>
      <c r="D637" s="16" t="s">
        <v>44</v>
      </c>
      <c r="E637" s="16"/>
      <c r="F637" s="16" t="s">
        <v>14</v>
      </c>
      <c r="G637" s="17" t="str">
        <f t="shared" si="16"/>
        <v xml:space="preserve"> six cent douze mille</v>
      </c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spans="2:20" x14ac:dyDescent="0.35">
      <c r="B638" s="16">
        <v>613000</v>
      </c>
      <c r="C638" s="16" t="s">
        <v>121</v>
      </c>
      <c r="D638" s="16" t="s">
        <v>46</v>
      </c>
      <c r="E638" s="16"/>
      <c r="F638" s="16" t="s">
        <v>14</v>
      </c>
      <c r="G638" s="17" t="str">
        <f t="shared" si="16"/>
        <v xml:space="preserve"> six cent treize mille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spans="2:20" x14ac:dyDescent="0.35">
      <c r="B639" s="16">
        <v>614000</v>
      </c>
      <c r="C639" s="16" t="s">
        <v>121</v>
      </c>
      <c r="D639" s="16" t="s">
        <v>48</v>
      </c>
      <c r="E639" s="16"/>
      <c r="F639" s="16" t="s">
        <v>14</v>
      </c>
      <c r="G639" s="17" t="str">
        <f t="shared" ref="G639:G702" si="17">CONCATENATE(C639,D639,E639,F639)</f>
        <v xml:space="preserve"> six cent quatorze mille</v>
      </c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spans="2:20" x14ac:dyDescent="0.35">
      <c r="B640" s="16">
        <v>615000</v>
      </c>
      <c r="C640" s="16" t="s">
        <v>121</v>
      </c>
      <c r="D640" s="16" t="s">
        <v>13</v>
      </c>
      <c r="E640" s="16"/>
      <c r="F640" s="16" t="s">
        <v>14</v>
      </c>
      <c r="G640" s="17" t="str">
        <f t="shared" si="17"/>
        <v xml:space="preserve"> six cent quinze mille</v>
      </c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spans="2:20" x14ac:dyDescent="0.35">
      <c r="B641" s="16">
        <v>616000</v>
      </c>
      <c r="C641" s="16" t="s">
        <v>121</v>
      </c>
      <c r="D641" s="16" t="s">
        <v>19</v>
      </c>
      <c r="E641" s="16"/>
      <c r="F641" s="16" t="s">
        <v>14</v>
      </c>
      <c r="G641" s="17" t="str">
        <f t="shared" si="17"/>
        <v xml:space="preserve"> six cent seize mille</v>
      </c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spans="2:20" x14ac:dyDescent="0.35">
      <c r="B642" s="16">
        <v>617000</v>
      </c>
      <c r="C642" s="16" t="s">
        <v>121</v>
      </c>
      <c r="D642" s="16" t="s">
        <v>23</v>
      </c>
      <c r="E642" s="16"/>
      <c r="F642" s="16" t="s">
        <v>14</v>
      </c>
      <c r="G642" s="17" t="str">
        <f t="shared" si="17"/>
        <v xml:space="preserve"> six cent dix sept mille</v>
      </c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spans="2:20" x14ac:dyDescent="0.35">
      <c r="B643" s="16">
        <v>618000</v>
      </c>
      <c r="C643" s="16" t="s">
        <v>121</v>
      </c>
      <c r="D643" s="16" t="s">
        <v>27</v>
      </c>
      <c r="E643" s="16"/>
      <c r="F643" s="16" t="s">
        <v>14</v>
      </c>
      <c r="G643" s="17" t="str">
        <f t="shared" si="17"/>
        <v xml:space="preserve"> six cent dix huit mille</v>
      </c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spans="2:20" x14ac:dyDescent="0.35">
      <c r="B644" s="16">
        <v>619000</v>
      </c>
      <c r="C644" s="16" t="s">
        <v>121</v>
      </c>
      <c r="D644" s="16" t="s">
        <v>30</v>
      </c>
      <c r="E644" s="16"/>
      <c r="F644" s="16" t="s">
        <v>14</v>
      </c>
      <c r="G644" s="17" t="str">
        <f t="shared" si="17"/>
        <v xml:space="preserve"> six cent dix neuf mille</v>
      </c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spans="2:20" x14ac:dyDescent="0.35">
      <c r="B645" s="16">
        <v>620000</v>
      </c>
      <c r="C645" s="16" t="s">
        <v>121</v>
      </c>
      <c r="D645" s="16" t="s">
        <v>10</v>
      </c>
      <c r="E645" s="16"/>
      <c r="F645" s="16" t="s">
        <v>14</v>
      </c>
      <c r="G645" s="17" t="str">
        <f t="shared" si="17"/>
        <v xml:space="preserve"> six cent vingt mille</v>
      </c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spans="2:20" x14ac:dyDescent="0.35">
      <c r="B646" s="16">
        <v>621000</v>
      </c>
      <c r="C646" s="16" t="s">
        <v>121</v>
      </c>
      <c r="D646" s="16" t="s">
        <v>115</v>
      </c>
      <c r="E646" s="16" t="s">
        <v>32</v>
      </c>
      <c r="F646" s="16" t="s">
        <v>14</v>
      </c>
      <c r="G646" s="17" t="str">
        <f t="shared" si="17"/>
        <v xml:space="preserve"> six cent vingt  et un mille</v>
      </c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spans="2:20" x14ac:dyDescent="0.35">
      <c r="B647" s="16">
        <v>622000</v>
      </c>
      <c r="C647" s="16" t="s">
        <v>121</v>
      </c>
      <c r="D647" s="16" t="s">
        <v>10</v>
      </c>
      <c r="E647" s="16" t="s">
        <v>16</v>
      </c>
      <c r="F647" s="16" t="s">
        <v>14</v>
      </c>
      <c r="G647" s="17" t="str">
        <f t="shared" si="17"/>
        <v xml:space="preserve"> six cent vingt deux mille</v>
      </c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spans="2:20" x14ac:dyDescent="0.35">
      <c r="B648" s="16">
        <v>623000</v>
      </c>
      <c r="C648" s="16" t="s">
        <v>121</v>
      </c>
      <c r="D648" s="16" t="s">
        <v>10</v>
      </c>
      <c r="E648" s="16" t="s">
        <v>20</v>
      </c>
      <c r="F648" s="16" t="s">
        <v>14</v>
      </c>
      <c r="G648" s="17" t="str">
        <f t="shared" si="17"/>
        <v xml:space="preserve"> six cent vingt trois mille</v>
      </c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spans="2:20" x14ac:dyDescent="0.35">
      <c r="B649" s="16">
        <v>624000</v>
      </c>
      <c r="C649" s="16" t="s">
        <v>121</v>
      </c>
      <c r="D649" s="16" t="s">
        <v>10</v>
      </c>
      <c r="E649" s="16" t="s">
        <v>24</v>
      </c>
      <c r="F649" s="16" t="s">
        <v>14</v>
      </c>
      <c r="G649" s="17" t="str">
        <f t="shared" si="17"/>
        <v xml:space="preserve"> six cent vingt quatre mille</v>
      </c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spans="2:20" x14ac:dyDescent="0.35">
      <c r="B650" s="16">
        <v>625000</v>
      </c>
      <c r="C650" s="16" t="s">
        <v>121</v>
      </c>
      <c r="D650" s="16" t="s">
        <v>10</v>
      </c>
      <c r="E650" s="16" t="s">
        <v>11</v>
      </c>
      <c r="F650" s="16" t="s">
        <v>14</v>
      </c>
      <c r="G650" s="17" t="str">
        <f t="shared" si="17"/>
        <v xml:space="preserve"> six cent vingt cinq mille</v>
      </c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spans="2:20" x14ac:dyDescent="0.35">
      <c r="B651" s="16">
        <v>626000</v>
      </c>
      <c r="C651" s="16" t="s">
        <v>121</v>
      </c>
      <c r="D651" s="16" t="s">
        <v>10</v>
      </c>
      <c r="E651" s="16" t="s">
        <v>116</v>
      </c>
      <c r="F651" s="16" t="s">
        <v>14</v>
      </c>
      <c r="G651" s="17" t="str">
        <f t="shared" si="17"/>
        <v xml:space="preserve"> six cent vingt six mille</v>
      </c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spans="2:20" x14ac:dyDescent="0.35">
      <c r="B652" s="16">
        <v>627000</v>
      </c>
      <c r="C652" s="16" t="s">
        <v>121</v>
      </c>
      <c r="D652" s="16" t="s">
        <v>10</v>
      </c>
      <c r="E652" s="16" t="s">
        <v>21</v>
      </c>
      <c r="F652" s="16" t="s">
        <v>14</v>
      </c>
      <c r="G652" s="17" t="str">
        <f t="shared" si="17"/>
        <v xml:space="preserve"> six cent vingt sept mille</v>
      </c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spans="2:20" x14ac:dyDescent="0.35">
      <c r="B653" s="16">
        <v>628000</v>
      </c>
      <c r="C653" s="16" t="s">
        <v>121</v>
      </c>
      <c r="D653" s="16" t="s">
        <v>10</v>
      </c>
      <c r="E653" s="16" t="s">
        <v>25</v>
      </c>
      <c r="F653" s="16" t="s">
        <v>14</v>
      </c>
      <c r="G653" s="17" t="str">
        <f t="shared" si="17"/>
        <v xml:space="preserve"> six cent vingt huit mille</v>
      </c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spans="2:20" x14ac:dyDescent="0.35">
      <c r="B654" s="16">
        <v>629000</v>
      </c>
      <c r="C654" s="16" t="s">
        <v>121</v>
      </c>
      <c r="D654" s="16" t="s">
        <v>10</v>
      </c>
      <c r="E654" s="16" t="s">
        <v>28</v>
      </c>
      <c r="F654" s="16" t="s">
        <v>14</v>
      </c>
      <c r="G654" s="17" t="str">
        <f t="shared" si="17"/>
        <v xml:space="preserve"> six cent vingt neuf mille</v>
      </c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spans="2:20" x14ac:dyDescent="0.35">
      <c r="B655" s="16">
        <v>630000</v>
      </c>
      <c r="C655" s="16" t="s">
        <v>121</v>
      </c>
      <c r="D655" s="16" t="s">
        <v>31</v>
      </c>
      <c r="E655" s="16"/>
      <c r="F655" s="16" t="s">
        <v>14</v>
      </c>
      <c r="G655" s="17" t="str">
        <f t="shared" si="17"/>
        <v xml:space="preserve"> six cent trente mille</v>
      </c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spans="2:20" x14ac:dyDescent="0.35">
      <c r="B656" s="16">
        <v>631000</v>
      </c>
      <c r="C656" s="16" t="s">
        <v>121</v>
      </c>
      <c r="D656" s="16" t="s">
        <v>31</v>
      </c>
      <c r="E656" s="16" t="s">
        <v>32</v>
      </c>
      <c r="F656" s="16" t="s">
        <v>14</v>
      </c>
      <c r="G656" s="17" t="str">
        <f t="shared" si="17"/>
        <v xml:space="preserve"> six cent trente et un mille</v>
      </c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spans="2:20" x14ac:dyDescent="0.35">
      <c r="B657" s="16">
        <v>632000</v>
      </c>
      <c r="C657" s="16" t="s">
        <v>121</v>
      </c>
      <c r="D657" s="16" t="s">
        <v>31</v>
      </c>
      <c r="E657" s="16" t="s">
        <v>16</v>
      </c>
      <c r="F657" s="16" t="s">
        <v>14</v>
      </c>
      <c r="G657" s="17" t="str">
        <f t="shared" si="17"/>
        <v xml:space="preserve"> six cent trente deux mille</v>
      </c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spans="2:20" x14ac:dyDescent="0.35">
      <c r="B658" s="16">
        <v>633000</v>
      </c>
      <c r="C658" s="16" t="s">
        <v>121</v>
      </c>
      <c r="D658" s="16" t="s">
        <v>31</v>
      </c>
      <c r="E658" s="16" t="s">
        <v>20</v>
      </c>
      <c r="F658" s="16" t="s">
        <v>14</v>
      </c>
      <c r="G658" s="17" t="str">
        <f t="shared" si="17"/>
        <v xml:space="preserve"> six cent trente trois mille</v>
      </c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spans="2:20" x14ac:dyDescent="0.35">
      <c r="B659" s="16">
        <v>634000</v>
      </c>
      <c r="C659" s="16" t="s">
        <v>121</v>
      </c>
      <c r="D659" s="16" t="s">
        <v>31</v>
      </c>
      <c r="E659" s="16" t="s">
        <v>24</v>
      </c>
      <c r="F659" s="16" t="s">
        <v>14</v>
      </c>
      <c r="G659" s="17" t="str">
        <f t="shared" si="17"/>
        <v xml:space="preserve"> six cent trente quatre mille</v>
      </c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spans="2:20" x14ac:dyDescent="0.35">
      <c r="B660" s="16">
        <v>635000</v>
      </c>
      <c r="C660" s="16" t="s">
        <v>121</v>
      </c>
      <c r="D660" s="16" t="s">
        <v>31</v>
      </c>
      <c r="E660" s="16" t="s">
        <v>11</v>
      </c>
      <c r="F660" s="16" t="s">
        <v>14</v>
      </c>
      <c r="G660" s="17" t="str">
        <f t="shared" si="17"/>
        <v xml:space="preserve"> six cent trente cinq mille</v>
      </c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spans="2:20" x14ac:dyDescent="0.35">
      <c r="B661" s="16">
        <v>636000</v>
      </c>
      <c r="C661" s="16" t="s">
        <v>121</v>
      </c>
      <c r="D661" s="16" t="s">
        <v>31</v>
      </c>
      <c r="E661" s="16" t="s">
        <v>116</v>
      </c>
      <c r="F661" s="16" t="s">
        <v>14</v>
      </c>
      <c r="G661" s="17" t="str">
        <f t="shared" si="17"/>
        <v xml:space="preserve"> six cent trente six mille</v>
      </c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spans="2:20" x14ac:dyDescent="0.35">
      <c r="B662" s="16">
        <v>637000</v>
      </c>
      <c r="C662" s="16" t="s">
        <v>121</v>
      </c>
      <c r="D662" s="16" t="s">
        <v>31</v>
      </c>
      <c r="E662" s="16" t="s">
        <v>21</v>
      </c>
      <c r="F662" s="16" t="s">
        <v>14</v>
      </c>
      <c r="G662" s="17" t="str">
        <f t="shared" si="17"/>
        <v xml:space="preserve"> six cent trente sept mille</v>
      </c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spans="2:20" x14ac:dyDescent="0.35">
      <c r="B663" s="16">
        <v>638000</v>
      </c>
      <c r="C663" s="16" t="s">
        <v>121</v>
      </c>
      <c r="D663" s="16" t="s">
        <v>31</v>
      </c>
      <c r="E663" s="16" t="s">
        <v>25</v>
      </c>
      <c r="F663" s="16" t="s">
        <v>14</v>
      </c>
      <c r="G663" s="17" t="str">
        <f t="shared" si="17"/>
        <v xml:space="preserve"> six cent trente huit mille</v>
      </c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spans="2:20" x14ac:dyDescent="0.35">
      <c r="B664" s="16">
        <v>639000</v>
      </c>
      <c r="C664" s="16" t="s">
        <v>121</v>
      </c>
      <c r="D664" s="16" t="s">
        <v>31</v>
      </c>
      <c r="E664" s="16" t="s">
        <v>28</v>
      </c>
      <c r="F664" s="16" t="s">
        <v>14</v>
      </c>
      <c r="G664" s="17" t="str">
        <f t="shared" si="17"/>
        <v xml:space="preserve"> six cent trente neuf mille</v>
      </c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spans="2:20" x14ac:dyDescent="0.35">
      <c r="B665" s="16">
        <v>640000</v>
      </c>
      <c r="C665" s="16" t="s">
        <v>121</v>
      </c>
      <c r="D665" s="16" t="s">
        <v>51</v>
      </c>
      <c r="E665" s="16"/>
      <c r="F665" s="16" t="s">
        <v>14</v>
      </c>
      <c r="G665" s="17" t="str">
        <f t="shared" si="17"/>
        <v xml:space="preserve"> six cent quarante mille</v>
      </c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spans="2:20" x14ac:dyDescent="0.35">
      <c r="B666" s="16">
        <v>641000</v>
      </c>
      <c r="C666" s="16" t="s">
        <v>121</v>
      </c>
      <c r="D666" s="16" t="s">
        <v>51</v>
      </c>
      <c r="E666" s="16" t="s">
        <v>32</v>
      </c>
      <c r="F666" s="16" t="s">
        <v>14</v>
      </c>
      <c r="G666" s="17" t="str">
        <f t="shared" si="17"/>
        <v xml:space="preserve"> six cent quarante et un mille</v>
      </c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spans="2:20" x14ac:dyDescent="0.35">
      <c r="B667" s="16">
        <v>642000</v>
      </c>
      <c r="C667" s="16" t="s">
        <v>121</v>
      </c>
      <c r="D667" s="16" t="s">
        <v>51</v>
      </c>
      <c r="E667" s="16" t="s">
        <v>16</v>
      </c>
      <c r="F667" s="16" t="s">
        <v>14</v>
      </c>
      <c r="G667" s="17" t="str">
        <f t="shared" si="17"/>
        <v xml:space="preserve"> six cent quarante deux mille</v>
      </c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spans="2:20" x14ac:dyDescent="0.35">
      <c r="B668" s="16">
        <v>643000</v>
      </c>
      <c r="C668" s="16" t="s">
        <v>121</v>
      </c>
      <c r="D668" s="16" t="s">
        <v>51</v>
      </c>
      <c r="E668" s="16" t="s">
        <v>20</v>
      </c>
      <c r="F668" s="16" t="s">
        <v>14</v>
      </c>
      <c r="G668" s="17" t="str">
        <f t="shared" si="17"/>
        <v xml:space="preserve"> six cent quarante trois mille</v>
      </c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spans="2:20" x14ac:dyDescent="0.35">
      <c r="B669" s="16">
        <v>644000</v>
      </c>
      <c r="C669" s="16" t="s">
        <v>121</v>
      </c>
      <c r="D669" s="16" t="s">
        <v>51</v>
      </c>
      <c r="E669" s="16" t="s">
        <v>24</v>
      </c>
      <c r="F669" s="16" t="s">
        <v>14</v>
      </c>
      <c r="G669" s="17" t="str">
        <f t="shared" si="17"/>
        <v xml:space="preserve"> six cent quarante quatre mille</v>
      </c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spans="2:20" x14ac:dyDescent="0.35">
      <c r="B670" s="16">
        <v>645000</v>
      </c>
      <c r="C670" s="16" t="s">
        <v>121</v>
      </c>
      <c r="D670" s="16" t="s">
        <v>51</v>
      </c>
      <c r="E670" s="16" t="s">
        <v>11</v>
      </c>
      <c r="F670" s="16" t="s">
        <v>14</v>
      </c>
      <c r="G670" s="17" t="str">
        <f t="shared" si="17"/>
        <v xml:space="preserve"> six cent quarante cinq mille</v>
      </c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spans="2:20" x14ac:dyDescent="0.35">
      <c r="B671" s="16">
        <v>646000</v>
      </c>
      <c r="C671" s="16" t="s">
        <v>121</v>
      </c>
      <c r="D671" s="16" t="s">
        <v>51</v>
      </c>
      <c r="E671" s="16" t="s">
        <v>116</v>
      </c>
      <c r="F671" s="16" t="s">
        <v>14</v>
      </c>
      <c r="G671" s="17" t="str">
        <f t="shared" si="17"/>
        <v xml:space="preserve"> six cent quarante six mille</v>
      </c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spans="2:20" x14ac:dyDescent="0.35">
      <c r="B672" s="16">
        <v>647000</v>
      </c>
      <c r="C672" s="16" t="s">
        <v>121</v>
      </c>
      <c r="D672" s="16" t="s">
        <v>51</v>
      </c>
      <c r="E672" s="16" t="s">
        <v>21</v>
      </c>
      <c r="F672" s="16" t="s">
        <v>14</v>
      </c>
      <c r="G672" s="17" t="str">
        <f t="shared" si="17"/>
        <v xml:space="preserve"> six cent quarante sept mille</v>
      </c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spans="2:20" x14ac:dyDescent="0.35">
      <c r="B673" s="16">
        <v>648000</v>
      </c>
      <c r="C673" s="16" t="s">
        <v>121</v>
      </c>
      <c r="D673" s="16" t="s">
        <v>51</v>
      </c>
      <c r="E673" s="16" t="s">
        <v>25</v>
      </c>
      <c r="F673" s="16" t="s">
        <v>14</v>
      </c>
      <c r="G673" s="17" t="str">
        <f t="shared" si="17"/>
        <v xml:space="preserve"> six cent quarante huit mille</v>
      </c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spans="2:20" x14ac:dyDescent="0.35">
      <c r="B674" s="16">
        <v>649000</v>
      </c>
      <c r="C674" s="16" t="s">
        <v>121</v>
      </c>
      <c r="D674" s="16" t="s">
        <v>51</v>
      </c>
      <c r="E674" s="16" t="s">
        <v>28</v>
      </c>
      <c r="F674" s="16" t="s">
        <v>14</v>
      </c>
      <c r="G674" s="17" t="str">
        <f t="shared" si="17"/>
        <v xml:space="preserve"> six cent quarante neuf mille</v>
      </c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spans="2:20" x14ac:dyDescent="0.35">
      <c r="B675" s="16">
        <v>650000</v>
      </c>
      <c r="C675" s="16" t="s">
        <v>121</v>
      </c>
      <c r="D675" s="16" t="s">
        <v>61</v>
      </c>
      <c r="E675" s="16"/>
      <c r="F675" s="16" t="s">
        <v>14</v>
      </c>
      <c r="G675" s="17" t="str">
        <f t="shared" si="17"/>
        <v xml:space="preserve"> six cent cinquante mille</v>
      </c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spans="2:20" x14ac:dyDescent="0.35">
      <c r="B676" s="16">
        <v>651000</v>
      </c>
      <c r="C676" s="16" t="s">
        <v>121</v>
      </c>
      <c r="D676" s="16" t="s">
        <v>61</v>
      </c>
      <c r="E676" s="16" t="s">
        <v>32</v>
      </c>
      <c r="F676" s="16" t="s">
        <v>14</v>
      </c>
      <c r="G676" s="17" t="str">
        <f t="shared" si="17"/>
        <v xml:space="preserve"> six cent cinquante et un mille</v>
      </c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spans="2:20" x14ac:dyDescent="0.35">
      <c r="B677" s="16">
        <v>652000</v>
      </c>
      <c r="C677" s="16" t="s">
        <v>121</v>
      </c>
      <c r="D677" s="16" t="s">
        <v>61</v>
      </c>
      <c r="E677" s="16" t="s">
        <v>16</v>
      </c>
      <c r="F677" s="16" t="s">
        <v>14</v>
      </c>
      <c r="G677" s="17" t="str">
        <f t="shared" si="17"/>
        <v xml:space="preserve"> six cent cinquante deux mille</v>
      </c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spans="2:20" x14ac:dyDescent="0.35">
      <c r="B678" s="16">
        <v>653000</v>
      </c>
      <c r="C678" s="16" t="s">
        <v>121</v>
      </c>
      <c r="D678" s="16" t="s">
        <v>61</v>
      </c>
      <c r="E678" s="16" t="s">
        <v>20</v>
      </c>
      <c r="F678" s="16" t="s">
        <v>14</v>
      </c>
      <c r="G678" s="17" t="str">
        <f t="shared" si="17"/>
        <v xml:space="preserve"> six cent cinquante trois mille</v>
      </c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spans="2:20" x14ac:dyDescent="0.35">
      <c r="B679" s="16">
        <v>654000</v>
      </c>
      <c r="C679" s="16" t="s">
        <v>121</v>
      </c>
      <c r="D679" s="16" t="s">
        <v>61</v>
      </c>
      <c r="E679" s="16" t="s">
        <v>24</v>
      </c>
      <c r="F679" s="16" t="s">
        <v>14</v>
      </c>
      <c r="G679" s="17" t="str">
        <f t="shared" si="17"/>
        <v xml:space="preserve"> six cent cinquante quatre mille</v>
      </c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spans="2:20" x14ac:dyDescent="0.35">
      <c r="B680" s="16">
        <v>655000</v>
      </c>
      <c r="C680" s="16" t="s">
        <v>121</v>
      </c>
      <c r="D680" s="16" t="s">
        <v>61</v>
      </c>
      <c r="E680" s="16" t="s">
        <v>11</v>
      </c>
      <c r="F680" s="16" t="s">
        <v>14</v>
      </c>
      <c r="G680" s="17" t="str">
        <f t="shared" si="17"/>
        <v xml:space="preserve"> six cent cinquante cinq mille</v>
      </c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spans="2:20" x14ac:dyDescent="0.35">
      <c r="B681" s="16">
        <v>656000</v>
      </c>
      <c r="C681" s="16" t="s">
        <v>121</v>
      </c>
      <c r="D681" s="16" t="s">
        <v>61</v>
      </c>
      <c r="E681" s="16" t="s">
        <v>116</v>
      </c>
      <c r="F681" s="16" t="s">
        <v>14</v>
      </c>
      <c r="G681" s="17" t="str">
        <f t="shared" si="17"/>
        <v xml:space="preserve"> six cent cinquante six mille</v>
      </c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spans="2:20" x14ac:dyDescent="0.35">
      <c r="B682" s="16">
        <v>657000</v>
      </c>
      <c r="C682" s="16" t="s">
        <v>121</v>
      </c>
      <c r="D682" s="16" t="s">
        <v>61</v>
      </c>
      <c r="E682" s="16" t="s">
        <v>21</v>
      </c>
      <c r="F682" s="16" t="s">
        <v>14</v>
      </c>
      <c r="G682" s="17" t="str">
        <f t="shared" si="17"/>
        <v xml:space="preserve"> six cent cinquante sept mille</v>
      </c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spans="2:20" x14ac:dyDescent="0.35">
      <c r="B683" s="16">
        <v>658000</v>
      </c>
      <c r="C683" s="16" t="s">
        <v>121</v>
      </c>
      <c r="D683" s="16" t="s">
        <v>61</v>
      </c>
      <c r="E683" s="16" t="s">
        <v>25</v>
      </c>
      <c r="F683" s="16" t="s">
        <v>14</v>
      </c>
      <c r="G683" s="17" t="str">
        <f t="shared" si="17"/>
        <v xml:space="preserve"> six cent cinquante huit mille</v>
      </c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spans="2:20" x14ac:dyDescent="0.35">
      <c r="B684" s="16">
        <v>659000</v>
      </c>
      <c r="C684" s="16" t="s">
        <v>121</v>
      </c>
      <c r="D684" s="16" t="s">
        <v>61</v>
      </c>
      <c r="E684" s="16" t="s">
        <v>28</v>
      </c>
      <c r="F684" s="16" t="s">
        <v>14</v>
      </c>
      <c r="G684" s="17" t="str">
        <f t="shared" si="17"/>
        <v xml:space="preserve"> six cent cinquante neuf mille</v>
      </c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spans="2:20" x14ac:dyDescent="0.35">
      <c r="B685" s="16">
        <v>660000</v>
      </c>
      <c r="C685" s="16" t="s">
        <v>121</v>
      </c>
      <c r="D685" s="16" t="s">
        <v>71</v>
      </c>
      <c r="E685" s="16"/>
      <c r="F685" s="16" t="s">
        <v>14</v>
      </c>
      <c r="G685" s="17" t="str">
        <f t="shared" si="17"/>
        <v xml:space="preserve"> six cent soixante mille</v>
      </c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spans="2:20" x14ac:dyDescent="0.35">
      <c r="B686" s="16">
        <v>661000</v>
      </c>
      <c r="C686" s="16" t="s">
        <v>121</v>
      </c>
      <c r="D686" s="16" t="s">
        <v>71</v>
      </c>
      <c r="E686" s="16" t="s">
        <v>32</v>
      </c>
      <c r="F686" s="16" t="s">
        <v>14</v>
      </c>
      <c r="G686" s="17" t="str">
        <f t="shared" si="17"/>
        <v xml:space="preserve"> six cent soixante et un mille</v>
      </c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spans="2:20" x14ac:dyDescent="0.35">
      <c r="B687" s="16">
        <v>662000</v>
      </c>
      <c r="C687" s="16" t="s">
        <v>121</v>
      </c>
      <c r="D687" s="16" t="s">
        <v>71</v>
      </c>
      <c r="E687" s="16" t="s">
        <v>16</v>
      </c>
      <c r="F687" s="16" t="s">
        <v>14</v>
      </c>
      <c r="G687" s="17" t="str">
        <f t="shared" si="17"/>
        <v xml:space="preserve"> six cent soixante deux mille</v>
      </c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spans="2:20" x14ac:dyDescent="0.35">
      <c r="B688" s="16">
        <v>663000</v>
      </c>
      <c r="C688" s="16" t="s">
        <v>121</v>
      </c>
      <c r="D688" s="16" t="s">
        <v>71</v>
      </c>
      <c r="E688" s="16" t="s">
        <v>20</v>
      </c>
      <c r="F688" s="16" t="s">
        <v>14</v>
      </c>
      <c r="G688" s="17" t="str">
        <f t="shared" si="17"/>
        <v xml:space="preserve"> six cent soixante trois mille</v>
      </c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spans="2:20" x14ac:dyDescent="0.35">
      <c r="B689" s="16">
        <v>664000</v>
      </c>
      <c r="C689" s="16" t="s">
        <v>121</v>
      </c>
      <c r="D689" s="16" t="s">
        <v>71</v>
      </c>
      <c r="E689" s="16" t="s">
        <v>24</v>
      </c>
      <c r="F689" s="16" t="s">
        <v>14</v>
      </c>
      <c r="G689" s="17" t="str">
        <f t="shared" si="17"/>
        <v xml:space="preserve"> six cent soixante quatre mille</v>
      </c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spans="2:20" x14ac:dyDescent="0.35">
      <c r="B690" s="16">
        <v>665000</v>
      </c>
      <c r="C690" s="16" t="s">
        <v>121</v>
      </c>
      <c r="D690" s="16" t="s">
        <v>71</v>
      </c>
      <c r="E690" s="16" t="s">
        <v>11</v>
      </c>
      <c r="F690" s="16" t="s">
        <v>14</v>
      </c>
      <c r="G690" s="17" t="str">
        <f t="shared" si="17"/>
        <v xml:space="preserve"> six cent soixante cinq mille</v>
      </c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spans="2:20" x14ac:dyDescent="0.35">
      <c r="B691" s="16">
        <v>666000</v>
      </c>
      <c r="C691" s="16" t="s">
        <v>121</v>
      </c>
      <c r="D691" s="16" t="s">
        <v>71</v>
      </c>
      <c r="E691" s="16" t="s">
        <v>116</v>
      </c>
      <c r="F691" s="16" t="s">
        <v>14</v>
      </c>
      <c r="G691" s="17" t="str">
        <f t="shared" si="17"/>
        <v xml:space="preserve"> six cent soixante six mille</v>
      </c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spans="2:20" x14ac:dyDescent="0.35">
      <c r="B692" s="16">
        <v>667000</v>
      </c>
      <c r="C692" s="16" t="s">
        <v>121</v>
      </c>
      <c r="D692" s="16" t="s">
        <v>71</v>
      </c>
      <c r="E692" s="16" t="s">
        <v>21</v>
      </c>
      <c r="F692" s="16" t="s">
        <v>14</v>
      </c>
      <c r="G692" s="17" t="str">
        <f t="shared" si="17"/>
        <v xml:space="preserve"> six cent soixante sept mille</v>
      </c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spans="2:20" x14ac:dyDescent="0.35">
      <c r="B693" s="16">
        <v>668000</v>
      </c>
      <c r="C693" s="16" t="s">
        <v>121</v>
      </c>
      <c r="D693" s="16" t="s">
        <v>71</v>
      </c>
      <c r="E693" s="16" t="s">
        <v>25</v>
      </c>
      <c r="F693" s="16" t="s">
        <v>14</v>
      </c>
      <c r="G693" s="17" t="str">
        <f t="shared" si="17"/>
        <v xml:space="preserve"> six cent soixante huit mille</v>
      </c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spans="2:20" x14ac:dyDescent="0.35">
      <c r="B694" s="16">
        <v>669000</v>
      </c>
      <c r="C694" s="16" t="s">
        <v>121</v>
      </c>
      <c r="D694" s="16" t="s">
        <v>71</v>
      </c>
      <c r="E694" s="16" t="s">
        <v>28</v>
      </c>
      <c r="F694" s="16" t="s">
        <v>14</v>
      </c>
      <c r="G694" s="17" t="str">
        <f t="shared" si="17"/>
        <v xml:space="preserve"> six cent soixante neuf mille</v>
      </c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spans="2:20" x14ac:dyDescent="0.35">
      <c r="B695" s="16">
        <v>670000</v>
      </c>
      <c r="C695" s="16" t="s">
        <v>121</v>
      </c>
      <c r="D695" s="16" t="s">
        <v>71</v>
      </c>
      <c r="E695" s="16" t="s">
        <v>39</v>
      </c>
      <c r="F695" s="16" t="s">
        <v>14</v>
      </c>
      <c r="G695" s="17" t="str">
        <f t="shared" si="17"/>
        <v xml:space="preserve"> six cent soixante dix mille</v>
      </c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spans="2:20" x14ac:dyDescent="0.35">
      <c r="B696" s="16">
        <v>671000</v>
      </c>
      <c r="C696" s="16" t="s">
        <v>121</v>
      </c>
      <c r="D696" s="16" t="s">
        <v>71</v>
      </c>
      <c r="E696" s="16" t="s">
        <v>82</v>
      </c>
      <c r="F696" s="16" t="s">
        <v>14</v>
      </c>
      <c r="G696" s="17" t="str">
        <f t="shared" si="17"/>
        <v xml:space="preserve"> six cent soixante et onze mille</v>
      </c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spans="2:20" x14ac:dyDescent="0.35">
      <c r="B697" s="16">
        <v>672000</v>
      </c>
      <c r="C697" s="16" t="s">
        <v>121</v>
      </c>
      <c r="D697" s="16" t="s">
        <v>71</v>
      </c>
      <c r="E697" s="16" t="s">
        <v>44</v>
      </c>
      <c r="F697" s="16" t="s">
        <v>14</v>
      </c>
      <c r="G697" s="17" t="str">
        <f t="shared" si="17"/>
        <v xml:space="preserve"> six cent soixante douze mille</v>
      </c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spans="2:20" x14ac:dyDescent="0.35">
      <c r="B698" s="16">
        <v>673000</v>
      </c>
      <c r="C698" s="16" t="s">
        <v>121</v>
      </c>
      <c r="D698" s="16" t="s">
        <v>71</v>
      </c>
      <c r="E698" s="16" t="s">
        <v>46</v>
      </c>
      <c r="F698" s="16" t="s">
        <v>14</v>
      </c>
      <c r="G698" s="17" t="str">
        <f t="shared" si="17"/>
        <v xml:space="preserve"> six cent soixante treize mille</v>
      </c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spans="2:20" x14ac:dyDescent="0.35">
      <c r="B699" s="16">
        <v>674000</v>
      </c>
      <c r="C699" s="16" t="s">
        <v>121</v>
      </c>
      <c r="D699" s="16" t="s">
        <v>71</v>
      </c>
      <c r="E699" s="16" t="s">
        <v>48</v>
      </c>
      <c r="F699" s="16" t="s">
        <v>14</v>
      </c>
      <c r="G699" s="17" t="str">
        <f t="shared" si="17"/>
        <v xml:space="preserve"> six cent soixante quatorze mille</v>
      </c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spans="2:20" x14ac:dyDescent="0.35">
      <c r="B700" s="16">
        <v>675000</v>
      </c>
      <c r="C700" s="16" t="s">
        <v>121</v>
      </c>
      <c r="D700" s="16" t="s">
        <v>71</v>
      </c>
      <c r="E700" s="16" t="s">
        <v>13</v>
      </c>
      <c r="F700" s="16" t="s">
        <v>14</v>
      </c>
      <c r="G700" s="17" t="str">
        <f t="shared" si="17"/>
        <v xml:space="preserve"> six cent soixante quinze mille</v>
      </c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spans="2:20" x14ac:dyDescent="0.35">
      <c r="B701" s="16">
        <v>676000</v>
      </c>
      <c r="C701" s="16" t="s">
        <v>121</v>
      </c>
      <c r="D701" s="16" t="s">
        <v>71</v>
      </c>
      <c r="E701" s="16" t="s">
        <v>19</v>
      </c>
      <c r="F701" s="16" t="s">
        <v>14</v>
      </c>
      <c r="G701" s="17" t="str">
        <f t="shared" si="17"/>
        <v xml:space="preserve"> six cent soixante seize mille</v>
      </c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spans="2:20" x14ac:dyDescent="0.35">
      <c r="B702" s="16">
        <v>677000</v>
      </c>
      <c r="C702" s="16" t="s">
        <v>121</v>
      </c>
      <c r="D702" s="16" t="s">
        <v>71</v>
      </c>
      <c r="E702" s="16" t="s">
        <v>23</v>
      </c>
      <c r="F702" s="16" t="s">
        <v>14</v>
      </c>
      <c r="G702" s="17" t="str">
        <f t="shared" si="17"/>
        <v xml:space="preserve"> six cent soixante dix sept mille</v>
      </c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spans="2:20" x14ac:dyDescent="0.35">
      <c r="B703" s="16">
        <v>678000</v>
      </c>
      <c r="C703" s="16" t="s">
        <v>121</v>
      </c>
      <c r="D703" s="16" t="s">
        <v>71</v>
      </c>
      <c r="E703" s="16" t="s">
        <v>27</v>
      </c>
      <c r="F703" s="16" t="s">
        <v>14</v>
      </c>
      <c r="G703" s="17" t="str">
        <f t="shared" ref="G703:G766" si="18">CONCATENATE(C703,D703,E703,F703)</f>
        <v xml:space="preserve"> six cent soixante dix huit mille</v>
      </c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spans="2:20" x14ac:dyDescent="0.35">
      <c r="B704" s="16">
        <v>679000</v>
      </c>
      <c r="C704" s="16" t="s">
        <v>121</v>
      </c>
      <c r="D704" s="16" t="s">
        <v>71</v>
      </c>
      <c r="E704" s="16" t="s">
        <v>30</v>
      </c>
      <c r="F704" s="16" t="s">
        <v>14</v>
      </c>
      <c r="G704" s="17" t="str">
        <f t="shared" si="18"/>
        <v xml:space="preserve"> six cent soixante dix neuf mille</v>
      </c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spans="2:20" x14ac:dyDescent="0.35">
      <c r="B705" s="16">
        <v>680000</v>
      </c>
      <c r="C705" s="16" t="s">
        <v>121</v>
      </c>
      <c r="D705" s="16" t="s">
        <v>92</v>
      </c>
      <c r="E705" s="16"/>
      <c r="F705" s="16" t="s">
        <v>14</v>
      </c>
      <c r="G705" s="17" t="str">
        <f t="shared" si="18"/>
        <v xml:space="preserve"> six cent quatre vingt mille</v>
      </c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spans="2:20" x14ac:dyDescent="0.35">
      <c r="B706" s="16">
        <v>681000</v>
      </c>
      <c r="C706" s="16" t="s">
        <v>121</v>
      </c>
      <c r="D706" s="16" t="s">
        <v>92</v>
      </c>
      <c r="E706" s="16" t="s">
        <v>32</v>
      </c>
      <c r="F706" s="16" t="s">
        <v>14</v>
      </c>
      <c r="G706" s="17" t="str">
        <f t="shared" si="18"/>
        <v xml:space="preserve"> six cent quatre vingt et un mille</v>
      </c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spans="2:20" x14ac:dyDescent="0.35">
      <c r="B707" s="16">
        <v>682000</v>
      </c>
      <c r="C707" s="16" t="s">
        <v>121</v>
      </c>
      <c r="D707" s="16" t="s">
        <v>92</v>
      </c>
      <c r="E707" s="16" t="s">
        <v>16</v>
      </c>
      <c r="F707" s="16" t="s">
        <v>14</v>
      </c>
      <c r="G707" s="17" t="str">
        <f t="shared" si="18"/>
        <v xml:space="preserve"> six cent quatre vingt deux mille</v>
      </c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spans="2:20" x14ac:dyDescent="0.35">
      <c r="B708" s="16">
        <v>683000</v>
      </c>
      <c r="C708" s="16" t="s">
        <v>121</v>
      </c>
      <c r="D708" s="16" t="s">
        <v>92</v>
      </c>
      <c r="E708" s="16" t="s">
        <v>20</v>
      </c>
      <c r="F708" s="16" t="s">
        <v>14</v>
      </c>
      <c r="G708" s="17" t="str">
        <f t="shared" si="18"/>
        <v xml:space="preserve"> six cent quatre vingt trois mille</v>
      </c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spans="2:20" x14ac:dyDescent="0.35">
      <c r="B709" s="16">
        <v>684000</v>
      </c>
      <c r="C709" s="16" t="s">
        <v>121</v>
      </c>
      <c r="D709" s="16" t="s">
        <v>92</v>
      </c>
      <c r="E709" s="16" t="s">
        <v>24</v>
      </c>
      <c r="F709" s="16" t="s">
        <v>14</v>
      </c>
      <c r="G709" s="17" t="str">
        <f t="shared" si="18"/>
        <v xml:space="preserve"> six cent quatre vingt quatre mille</v>
      </c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spans="2:20" x14ac:dyDescent="0.35">
      <c r="B710" s="16">
        <v>685000</v>
      </c>
      <c r="C710" s="16" t="s">
        <v>121</v>
      </c>
      <c r="D710" s="16" t="s">
        <v>92</v>
      </c>
      <c r="E710" s="16" t="s">
        <v>11</v>
      </c>
      <c r="F710" s="16" t="s">
        <v>14</v>
      </c>
      <c r="G710" s="17" t="str">
        <f t="shared" si="18"/>
        <v xml:space="preserve"> six cent quatre vingt cinq mille</v>
      </c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spans="2:20" x14ac:dyDescent="0.35">
      <c r="B711" s="16">
        <v>686000</v>
      </c>
      <c r="C711" s="16" t="s">
        <v>121</v>
      </c>
      <c r="D711" s="16" t="s">
        <v>92</v>
      </c>
      <c r="E711" s="16" t="s">
        <v>116</v>
      </c>
      <c r="F711" s="16" t="s">
        <v>14</v>
      </c>
      <c r="G711" s="17" t="str">
        <f t="shared" si="18"/>
        <v xml:space="preserve"> six cent quatre vingt six mille</v>
      </c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spans="2:20" x14ac:dyDescent="0.35">
      <c r="B712" s="16">
        <v>687000</v>
      </c>
      <c r="C712" s="16" t="s">
        <v>121</v>
      </c>
      <c r="D712" s="16" t="s">
        <v>92</v>
      </c>
      <c r="E712" s="16" t="s">
        <v>21</v>
      </c>
      <c r="F712" s="16" t="s">
        <v>14</v>
      </c>
      <c r="G712" s="17" t="str">
        <f t="shared" si="18"/>
        <v xml:space="preserve"> six cent quatre vingt sept mille</v>
      </c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spans="2:20" x14ac:dyDescent="0.35">
      <c r="B713" s="16">
        <v>688000</v>
      </c>
      <c r="C713" s="16" t="s">
        <v>121</v>
      </c>
      <c r="D713" s="16" t="s">
        <v>92</v>
      </c>
      <c r="E713" s="16" t="s">
        <v>25</v>
      </c>
      <c r="F713" s="16" t="s">
        <v>14</v>
      </c>
      <c r="G713" s="17" t="str">
        <f t="shared" si="18"/>
        <v xml:space="preserve"> six cent quatre vingt huit mille</v>
      </c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spans="2:20" x14ac:dyDescent="0.35">
      <c r="B714" s="16">
        <v>689000</v>
      </c>
      <c r="C714" s="16" t="s">
        <v>121</v>
      </c>
      <c r="D714" s="16" t="s">
        <v>92</v>
      </c>
      <c r="E714" s="16" t="s">
        <v>28</v>
      </c>
      <c r="F714" s="16" t="s">
        <v>14</v>
      </c>
      <c r="G714" s="17" t="str">
        <f t="shared" si="18"/>
        <v xml:space="preserve"> six cent quatre vingt neuf mille</v>
      </c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spans="2:20" x14ac:dyDescent="0.35">
      <c r="B715" s="16">
        <v>690000</v>
      </c>
      <c r="C715" s="16" t="s">
        <v>121</v>
      </c>
      <c r="D715" s="16" t="s">
        <v>92</v>
      </c>
      <c r="E715" s="16" t="s">
        <v>39</v>
      </c>
      <c r="F715" s="16" t="s">
        <v>14</v>
      </c>
      <c r="G715" s="17" t="str">
        <f t="shared" si="18"/>
        <v xml:space="preserve"> six cent quatre vingt dix mille</v>
      </c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spans="2:20" x14ac:dyDescent="0.35">
      <c r="B716" s="16">
        <v>691000</v>
      </c>
      <c r="C716" s="16" t="s">
        <v>121</v>
      </c>
      <c r="D716" s="16" t="s">
        <v>92</v>
      </c>
      <c r="E716" s="16" t="s">
        <v>42</v>
      </c>
      <c r="F716" s="16" t="s">
        <v>14</v>
      </c>
      <c r="G716" s="17" t="str">
        <f t="shared" si="18"/>
        <v xml:space="preserve"> six cent quatre vingt onze mille</v>
      </c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spans="2:20" x14ac:dyDescent="0.35">
      <c r="B717" s="16">
        <v>692000</v>
      </c>
      <c r="C717" s="16" t="s">
        <v>121</v>
      </c>
      <c r="D717" s="16" t="s">
        <v>92</v>
      </c>
      <c r="E717" s="16" t="s">
        <v>44</v>
      </c>
      <c r="F717" s="16" t="s">
        <v>14</v>
      </c>
      <c r="G717" s="17" t="str">
        <f t="shared" si="18"/>
        <v xml:space="preserve"> six cent quatre vingt douze mille</v>
      </c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spans="2:20" x14ac:dyDescent="0.35">
      <c r="B718" s="16">
        <v>693000</v>
      </c>
      <c r="C718" s="16" t="s">
        <v>121</v>
      </c>
      <c r="D718" s="16" t="s">
        <v>92</v>
      </c>
      <c r="E718" s="16" t="s">
        <v>46</v>
      </c>
      <c r="F718" s="16" t="s">
        <v>14</v>
      </c>
      <c r="G718" s="17" t="str">
        <f t="shared" si="18"/>
        <v xml:space="preserve"> six cent quatre vingt treize mille</v>
      </c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spans="2:20" x14ac:dyDescent="0.35">
      <c r="B719" s="16">
        <v>694000</v>
      </c>
      <c r="C719" s="16" t="s">
        <v>121</v>
      </c>
      <c r="D719" s="16" t="s">
        <v>92</v>
      </c>
      <c r="E719" s="16" t="s">
        <v>48</v>
      </c>
      <c r="F719" s="16" t="s">
        <v>14</v>
      </c>
      <c r="G719" s="17" t="str">
        <f t="shared" si="18"/>
        <v xml:space="preserve"> six cent quatre vingt quatorze mille</v>
      </c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spans="2:20" x14ac:dyDescent="0.35">
      <c r="B720" s="16">
        <v>695000</v>
      </c>
      <c r="C720" s="16" t="s">
        <v>121</v>
      </c>
      <c r="D720" s="16" t="s">
        <v>92</v>
      </c>
      <c r="E720" s="16" t="s">
        <v>13</v>
      </c>
      <c r="F720" s="16" t="s">
        <v>14</v>
      </c>
      <c r="G720" s="17" t="str">
        <f t="shared" si="18"/>
        <v xml:space="preserve"> six cent quatre vingt quinze mille</v>
      </c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spans="2:20" x14ac:dyDescent="0.35">
      <c r="B721" s="16">
        <v>696000</v>
      </c>
      <c r="C721" s="16" t="s">
        <v>121</v>
      </c>
      <c r="D721" s="16" t="s">
        <v>92</v>
      </c>
      <c r="E721" s="16" t="s">
        <v>19</v>
      </c>
      <c r="F721" s="16" t="s">
        <v>14</v>
      </c>
      <c r="G721" s="17" t="str">
        <f t="shared" si="18"/>
        <v xml:space="preserve"> six cent quatre vingt seize mille</v>
      </c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spans="2:20" x14ac:dyDescent="0.35">
      <c r="B722" s="16">
        <v>697000</v>
      </c>
      <c r="C722" s="16" t="s">
        <v>121</v>
      </c>
      <c r="D722" s="16" t="s">
        <v>92</v>
      </c>
      <c r="E722" s="16" t="s">
        <v>23</v>
      </c>
      <c r="F722" s="16" t="s">
        <v>14</v>
      </c>
      <c r="G722" s="17" t="str">
        <f t="shared" si="18"/>
        <v xml:space="preserve"> six cent quatre vingt dix sept mille</v>
      </c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spans="2:20" x14ac:dyDescent="0.35">
      <c r="B723" s="16">
        <v>698000</v>
      </c>
      <c r="C723" s="16" t="s">
        <v>121</v>
      </c>
      <c r="D723" s="16" t="s">
        <v>92</v>
      </c>
      <c r="E723" s="16" t="s">
        <v>27</v>
      </c>
      <c r="F723" s="16" t="s">
        <v>14</v>
      </c>
      <c r="G723" s="17" t="str">
        <f t="shared" si="18"/>
        <v xml:space="preserve"> six cent quatre vingt dix huit mille</v>
      </c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spans="2:20" x14ac:dyDescent="0.35">
      <c r="B724" s="16">
        <v>699000</v>
      </c>
      <c r="C724" s="16" t="s">
        <v>121</v>
      </c>
      <c r="D724" s="16" t="s">
        <v>92</v>
      </c>
      <c r="E724" s="16" t="s">
        <v>30</v>
      </c>
      <c r="F724" s="16" t="s">
        <v>14</v>
      </c>
      <c r="G724" s="17" t="str">
        <f t="shared" si="18"/>
        <v xml:space="preserve"> six cent quatre vingt dix neuf mille</v>
      </c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spans="2:20" x14ac:dyDescent="0.35">
      <c r="B725" s="16">
        <v>700000</v>
      </c>
      <c r="C725" s="16" t="s">
        <v>122</v>
      </c>
      <c r="D725" s="16"/>
      <c r="E725" s="16"/>
      <c r="F725" s="16" t="s">
        <v>14</v>
      </c>
      <c r="G725" s="17" t="str">
        <f t="shared" si="18"/>
        <v xml:space="preserve"> sept cent mille</v>
      </c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spans="2:20" x14ac:dyDescent="0.35">
      <c r="B726" s="16">
        <v>701000</v>
      </c>
      <c r="C726" s="16" t="s">
        <v>122</v>
      </c>
      <c r="D726" s="16" t="s">
        <v>114</v>
      </c>
      <c r="E726" s="16"/>
      <c r="F726" s="16" t="s">
        <v>14</v>
      </c>
      <c r="G726" s="17" t="str">
        <f t="shared" si="18"/>
        <v xml:space="preserve"> sept cent un mille</v>
      </c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spans="2:20" x14ac:dyDescent="0.35">
      <c r="B727" s="16">
        <v>702000</v>
      </c>
      <c r="C727" s="16" t="s">
        <v>122</v>
      </c>
      <c r="D727" s="16" t="s">
        <v>16</v>
      </c>
      <c r="E727" s="16"/>
      <c r="F727" s="16" t="s">
        <v>14</v>
      </c>
      <c r="G727" s="17" t="str">
        <f t="shared" si="18"/>
        <v xml:space="preserve"> sept cent deux mille</v>
      </c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spans="2:20" x14ac:dyDescent="0.35">
      <c r="B728" s="16">
        <v>703000</v>
      </c>
      <c r="C728" s="16" t="s">
        <v>122</v>
      </c>
      <c r="D728" s="16" t="s">
        <v>20</v>
      </c>
      <c r="E728" s="16"/>
      <c r="F728" s="16" t="s">
        <v>14</v>
      </c>
      <c r="G728" s="17" t="str">
        <f t="shared" si="18"/>
        <v xml:space="preserve"> sept cent trois mille</v>
      </c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spans="2:20" x14ac:dyDescent="0.35">
      <c r="B729" s="16">
        <v>704000</v>
      </c>
      <c r="C729" s="16" t="s">
        <v>122</v>
      </c>
      <c r="D729" s="16" t="s">
        <v>24</v>
      </c>
      <c r="E729" s="16"/>
      <c r="F729" s="16" t="s">
        <v>14</v>
      </c>
      <c r="G729" s="17" t="str">
        <f t="shared" si="18"/>
        <v xml:space="preserve"> sept cent quatre mille</v>
      </c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spans="2:20" x14ac:dyDescent="0.35">
      <c r="B730" s="16">
        <v>705000</v>
      </c>
      <c r="C730" s="16" t="s">
        <v>122</v>
      </c>
      <c r="D730" s="16" t="s">
        <v>11</v>
      </c>
      <c r="E730" s="16"/>
      <c r="F730" s="16" t="s">
        <v>14</v>
      </c>
      <c r="G730" s="17" t="str">
        <f t="shared" si="18"/>
        <v xml:space="preserve"> sept cent cinq mille</v>
      </c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spans="2:20" x14ac:dyDescent="0.35">
      <c r="B731" s="16">
        <v>706000</v>
      </c>
      <c r="C731" s="16" t="s">
        <v>122</v>
      </c>
      <c r="D731" s="16" t="s">
        <v>17</v>
      </c>
      <c r="E731" s="16"/>
      <c r="F731" s="16" t="s">
        <v>14</v>
      </c>
      <c r="G731" s="17" t="str">
        <f t="shared" si="18"/>
        <v xml:space="preserve"> sept cent six  mille</v>
      </c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spans="2:20" x14ac:dyDescent="0.35">
      <c r="B732" s="16">
        <v>707000</v>
      </c>
      <c r="C732" s="16" t="s">
        <v>122</v>
      </c>
      <c r="D732" s="16" t="s">
        <v>21</v>
      </c>
      <c r="E732" s="16"/>
      <c r="F732" s="16" t="s">
        <v>14</v>
      </c>
      <c r="G732" s="17" t="str">
        <f t="shared" si="18"/>
        <v xml:space="preserve"> sept cent sept mille</v>
      </c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spans="2:20" x14ac:dyDescent="0.35">
      <c r="B733" s="16">
        <v>708000</v>
      </c>
      <c r="C733" s="16" t="s">
        <v>122</v>
      </c>
      <c r="D733" s="16" t="s">
        <v>25</v>
      </c>
      <c r="E733" s="16"/>
      <c r="F733" s="16" t="s">
        <v>14</v>
      </c>
      <c r="G733" s="17" t="str">
        <f t="shared" si="18"/>
        <v xml:space="preserve"> sept cent huit mille</v>
      </c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spans="2:20" x14ac:dyDescent="0.35">
      <c r="B734" s="16">
        <v>709000</v>
      </c>
      <c r="C734" s="16" t="s">
        <v>122</v>
      </c>
      <c r="D734" s="16" t="s">
        <v>28</v>
      </c>
      <c r="E734" s="16"/>
      <c r="F734" s="16" t="s">
        <v>14</v>
      </c>
      <c r="G734" s="17" t="str">
        <f t="shared" si="18"/>
        <v xml:space="preserve"> sept cent neuf mille</v>
      </c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spans="2:20" x14ac:dyDescent="0.35">
      <c r="B735" s="16">
        <v>710000</v>
      </c>
      <c r="C735" s="16" t="s">
        <v>122</v>
      </c>
      <c r="D735" s="16" t="s">
        <v>39</v>
      </c>
      <c r="E735" s="16"/>
      <c r="F735" s="16" t="s">
        <v>14</v>
      </c>
      <c r="G735" s="17" t="str">
        <f t="shared" si="18"/>
        <v xml:space="preserve"> sept cent dix mille</v>
      </c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spans="2:20" x14ac:dyDescent="0.35">
      <c r="B736" s="16">
        <v>711000</v>
      </c>
      <c r="C736" s="16" t="s">
        <v>122</v>
      </c>
      <c r="D736" s="16" t="s">
        <v>42</v>
      </c>
      <c r="E736" s="16"/>
      <c r="F736" s="16" t="s">
        <v>14</v>
      </c>
      <c r="G736" s="17" t="str">
        <f t="shared" si="18"/>
        <v xml:space="preserve"> sept cent onze mille</v>
      </c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spans="2:20" x14ac:dyDescent="0.35">
      <c r="B737" s="16">
        <v>712000</v>
      </c>
      <c r="C737" s="16" t="s">
        <v>122</v>
      </c>
      <c r="D737" s="16" t="s">
        <v>44</v>
      </c>
      <c r="E737" s="16"/>
      <c r="F737" s="16" t="s">
        <v>14</v>
      </c>
      <c r="G737" s="17" t="str">
        <f t="shared" si="18"/>
        <v xml:space="preserve"> sept cent douze mille</v>
      </c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spans="2:20" x14ac:dyDescent="0.35">
      <c r="B738" s="16">
        <v>713000</v>
      </c>
      <c r="C738" s="16" t="s">
        <v>122</v>
      </c>
      <c r="D738" s="16" t="s">
        <v>46</v>
      </c>
      <c r="E738" s="16"/>
      <c r="F738" s="16" t="s">
        <v>14</v>
      </c>
      <c r="G738" s="17" t="str">
        <f t="shared" si="18"/>
        <v xml:space="preserve"> sept cent treize mille</v>
      </c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spans="2:20" x14ac:dyDescent="0.35">
      <c r="B739" s="16">
        <v>714000</v>
      </c>
      <c r="C739" s="16" t="s">
        <v>122</v>
      </c>
      <c r="D739" s="16" t="s">
        <v>48</v>
      </c>
      <c r="E739" s="16"/>
      <c r="F739" s="16" t="s">
        <v>14</v>
      </c>
      <c r="G739" s="17" t="str">
        <f t="shared" si="18"/>
        <v xml:space="preserve"> sept cent quatorze mille</v>
      </c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spans="2:20" x14ac:dyDescent="0.35">
      <c r="B740" s="16">
        <v>715000</v>
      </c>
      <c r="C740" s="16" t="s">
        <v>122</v>
      </c>
      <c r="D740" s="16" t="s">
        <v>13</v>
      </c>
      <c r="E740" s="16"/>
      <c r="F740" s="16" t="s">
        <v>14</v>
      </c>
      <c r="G740" s="17" t="str">
        <f t="shared" si="18"/>
        <v xml:space="preserve"> sept cent quinze mille</v>
      </c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spans="2:20" x14ac:dyDescent="0.35">
      <c r="B741" s="16">
        <v>716000</v>
      </c>
      <c r="C741" s="16" t="s">
        <v>122</v>
      </c>
      <c r="D741" s="16" t="s">
        <v>19</v>
      </c>
      <c r="E741" s="16"/>
      <c r="F741" s="16" t="s">
        <v>14</v>
      </c>
      <c r="G741" s="17" t="str">
        <f t="shared" si="18"/>
        <v xml:space="preserve"> sept cent seize mille</v>
      </c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spans="2:20" x14ac:dyDescent="0.35">
      <c r="B742" s="16">
        <v>717000</v>
      </c>
      <c r="C742" s="16" t="s">
        <v>122</v>
      </c>
      <c r="D742" s="16" t="s">
        <v>23</v>
      </c>
      <c r="E742" s="16"/>
      <c r="F742" s="16" t="s">
        <v>14</v>
      </c>
      <c r="G742" s="17" t="str">
        <f t="shared" si="18"/>
        <v xml:space="preserve"> sept cent dix sept mille</v>
      </c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spans="2:20" x14ac:dyDescent="0.35">
      <c r="B743" s="16">
        <v>718000</v>
      </c>
      <c r="C743" s="16" t="s">
        <v>122</v>
      </c>
      <c r="D743" s="16" t="s">
        <v>27</v>
      </c>
      <c r="E743" s="16"/>
      <c r="F743" s="16" t="s">
        <v>14</v>
      </c>
      <c r="G743" s="17" t="str">
        <f t="shared" si="18"/>
        <v xml:space="preserve"> sept cent dix huit mille</v>
      </c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spans="2:20" x14ac:dyDescent="0.35">
      <c r="B744" s="16">
        <v>719000</v>
      </c>
      <c r="C744" s="16" t="s">
        <v>122</v>
      </c>
      <c r="D744" s="16" t="s">
        <v>30</v>
      </c>
      <c r="E744" s="16"/>
      <c r="F744" s="16" t="s">
        <v>14</v>
      </c>
      <c r="G744" s="17" t="str">
        <f t="shared" si="18"/>
        <v xml:space="preserve"> sept cent dix neuf mille</v>
      </c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spans="2:20" x14ac:dyDescent="0.35">
      <c r="B745" s="16">
        <v>720000</v>
      </c>
      <c r="C745" s="16" t="s">
        <v>122</v>
      </c>
      <c r="D745" s="16" t="s">
        <v>10</v>
      </c>
      <c r="E745" s="16"/>
      <c r="F745" s="16" t="s">
        <v>14</v>
      </c>
      <c r="G745" s="17" t="str">
        <f t="shared" si="18"/>
        <v xml:space="preserve"> sept cent vingt mille</v>
      </c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spans="2:20" x14ac:dyDescent="0.35">
      <c r="B746" s="16">
        <v>721000</v>
      </c>
      <c r="C746" s="16" t="s">
        <v>122</v>
      </c>
      <c r="D746" s="16" t="s">
        <v>115</v>
      </c>
      <c r="E746" s="16" t="s">
        <v>32</v>
      </c>
      <c r="F746" s="16" t="s">
        <v>14</v>
      </c>
      <c r="G746" s="17" t="str">
        <f t="shared" si="18"/>
        <v xml:space="preserve"> sept cent vingt  et un mille</v>
      </c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spans="2:20" x14ac:dyDescent="0.35">
      <c r="B747" s="16">
        <v>722000</v>
      </c>
      <c r="C747" s="16" t="s">
        <v>122</v>
      </c>
      <c r="D747" s="16" t="s">
        <v>10</v>
      </c>
      <c r="E747" s="16" t="s">
        <v>16</v>
      </c>
      <c r="F747" s="16" t="s">
        <v>14</v>
      </c>
      <c r="G747" s="17" t="str">
        <f t="shared" si="18"/>
        <v xml:space="preserve"> sept cent vingt deux mille</v>
      </c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spans="2:20" x14ac:dyDescent="0.35">
      <c r="B748" s="16">
        <v>723000</v>
      </c>
      <c r="C748" s="16" t="s">
        <v>122</v>
      </c>
      <c r="D748" s="16" t="s">
        <v>10</v>
      </c>
      <c r="E748" s="16" t="s">
        <v>20</v>
      </c>
      <c r="F748" s="16" t="s">
        <v>14</v>
      </c>
      <c r="G748" s="17" t="str">
        <f t="shared" si="18"/>
        <v xml:space="preserve"> sept cent vingt trois mille</v>
      </c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spans="2:20" x14ac:dyDescent="0.35">
      <c r="B749" s="16">
        <v>724000</v>
      </c>
      <c r="C749" s="16" t="s">
        <v>122</v>
      </c>
      <c r="D749" s="16" t="s">
        <v>10</v>
      </c>
      <c r="E749" s="16" t="s">
        <v>24</v>
      </c>
      <c r="F749" s="16" t="s">
        <v>14</v>
      </c>
      <c r="G749" s="17" t="str">
        <f t="shared" si="18"/>
        <v xml:space="preserve"> sept cent vingt quatre mille</v>
      </c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spans="2:20" x14ac:dyDescent="0.35">
      <c r="B750" s="16">
        <v>725000</v>
      </c>
      <c r="C750" s="16" t="s">
        <v>122</v>
      </c>
      <c r="D750" s="16" t="s">
        <v>10</v>
      </c>
      <c r="E750" s="16" t="s">
        <v>11</v>
      </c>
      <c r="F750" s="16" t="s">
        <v>14</v>
      </c>
      <c r="G750" s="17" t="str">
        <f t="shared" si="18"/>
        <v xml:space="preserve"> sept cent vingt cinq mille</v>
      </c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spans="2:20" x14ac:dyDescent="0.35">
      <c r="B751" s="16">
        <v>726000</v>
      </c>
      <c r="C751" s="16" t="s">
        <v>122</v>
      </c>
      <c r="D751" s="16" t="s">
        <v>10</v>
      </c>
      <c r="E751" s="16" t="s">
        <v>116</v>
      </c>
      <c r="F751" s="16" t="s">
        <v>14</v>
      </c>
      <c r="G751" s="17" t="str">
        <f t="shared" si="18"/>
        <v xml:space="preserve"> sept cent vingt six mille</v>
      </c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spans="2:20" x14ac:dyDescent="0.35">
      <c r="B752" s="16">
        <v>727000</v>
      </c>
      <c r="C752" s="16" t="s">
        <v>122</v>
      </c>
      <c r="D752" s="16" t="s">
        <v>10</v>
      </c>
      <c r="E752" s="16" t="s">
        <v>21</v>
      </c>
      <c r="F752" s="16" t="s">
        <v>14</v>
      </c>
      <c r="G752" s="17" t="str">
        <f t="shared" si="18"/>
        <v xml:space="preserve"> sept cent vingt sept mille</v>
      </c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spans="2:20" x14ac:dyDescent="0.35">
      <c r="B753" s="16">
        <v>728000</v>
      </c>
      <c r="C753" s="16" t="s">
        <v>122</v>
      </c>
      <c r="D753" s="16" t="s">
        <v>10</v>
      </c>
      <c r="E753" s="16" t="s">
        <v>25</v>
      </c>
      <c r="F753" s="16" t="s">
        <v>14</v>
      </c>
      <c r="G753" s="17" t="str">
        <f t="shared" si="18"/>
        <v xml:space="preserve"> sept cent vingt huit mille</v>
      </c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spans="2:20" x14ac:dyDescent="0.35">
      <c r="B754" s="16">
        <v>729000</v>
      </c>
      <c r="C754" s="16" t="s">
        <v>122</v>
      </c>
      <c r="D754" s="16" t="s">
        <v>10</v>
      </c>
      <c r="E754" s="16" t="s">
        <v>28</v>
      </c>
      <c r="F754" s="16" t="s">
        <v>14</v>
      </c>
      <c r="G754" s="17" t="str">
        <f t="shared" si="18"/>
        <v xml:space="preserve"> sept cent vingt neuf mille</v>
      </c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spans="2:20" x14ac:dyDescent="0.35">
      <c r="B755" s="16">
        <v>730000</v>
      </c>
      <c r="C755" s="16" t="s">
        <v>122</v>
      </c>
      <c r="D755" s="16" t="s">
        <v>31</v>
      </c>
      <c r="E755" s="16"/>
      <c r="F755" s="16" t="s">
        <v>14</v>
      </c>
      <c r="G755" s="17" t="str">
        <f t="shared" si="18"/>
        <v xml:space="preserve"> sept cent trente mille</v>
      </c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spans="2:20" x14ac:dyDescent="0.35">
      <c r="B756" s="16">
        <v>731000</v>
      </c>
      <c r="C756" s="16" t="s">
        <v>122</v>
      </c>
      <c r="D756" s="16" t="s">
        <v>31</v>
      </c>
      <c r="E756" s="16" t="s">
        <v>32</v>
      </c>
      <c r="F756" s="16" t="s">
        <v>14</v>
      </c>
      <c r="G756" s="17" t="str">
        <f t="shared" si="18"/>
        <v xml:space="preserve"> sept cent trente et un mille</v>
      </c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spans="2:20" x14ac:dyDescent="0.35">
      <c r="B757" s="16">
        <v>732000</v>
      </c>
      <c r="C757" s="16" t="s">
        <v>122</v>
      </c>
      <c r="D757" s="16" t="s">
        <v>31</v>
      </c>
      <c r="E757" s="16" t="s">
        <v>16</v>
      </c>
      <c r="F757" s="16" t="s">
        <v>14</v>
      </c>
      <c r="G757" s="17" t="str">
        <f t="shared" si="18"/>
        <v xml:space="preserve"> sept cent trente deux mille</v>
      </c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spans="2:20" x14ac:dyDescent="0.35">
      <c r="B758" s="16">
        <v>733000</v>
      </c>
      <c r="C758" s="16" t="s">
        <v>122</v>
      </c>
      <c r="D758" s="16" t="s">
        <v>31</v>
      </c>
      <c r="E758" s="16" t="s">
        <v>20</v>
      </c>
      <c r="F758" s="16" t="s">
        <v>14</v>
      </c>
      <c r="G758" s="17" t="str">
        <f t="shared" si="18"/>
        <v xml:space="preserve"> sept cent trente trois mille</v>
      </c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spans="2:20" x14ac:dyDescent="0.35">
      <c r="B759" s="16">
        <v>734000</v>
      </c>
      <c r="C759" s="16" t="s">
        <v>122</v>
      </c>
      <c r="D759" s="16" t="s">
        <v>31</v>
      </c>
      <c r="E759" s="16" t="s">
        <v>24</v>
      </c>
      <c r="F759" s="16" t="s">
        <v>14</v>
      </c>
      <c r="G759" s="17" t="str">
        <f t="shared" si="18"/>
        <v xml:space="preserve"> sept cent trente quatre mille</v>
      </c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spans="2:20" x14ac:dyDescent="0.35">
      <c r="B760" s="16">
        <v>735000</v>
      </c>
      <c r="C760" s="16" t="s">
        <v>122</v>
      </c>
      <c r="D760" s="16" t="s">
        <v>31</v>
      </c>
      <c r="E760" s="16" t="s">
        <v>11</v>
      </c>
      <c r="F760" s="16" t="s">
        <v>14</v>
      </c>
      <c r="G760" s="17" t="str">
        <f t="shared" si="18"/>
        <v xml:space="preserve"> sept cent trente cinq mille</v>
      </c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spans="2:20" x14ac:dyDescent="0.35">
      <c r="B761" s="16">
        <v>736000</v>
      </c>
      <c r="C761" s="16" t="s">
        <v>122</v>
      </c>
      <c r="D761" s="16" t="s">
        <v>31</v>
      </c>
      <c r="E761" s="16" t="s">
        <v>116</v>
      </c>
      <c r="F761" s="16" t="s">
        <v>14</v>
      </c>
      <c r="G761" s="17" t="str">
        <f t="shared" si="18"/>
        <v xml:space="preserve"> sept cent trente six mille</v>
      </c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spans="2:20" x14ac:dyDescent="0.35">
      <c r="B762" s="16">
        <v>737000</v>
      </c>
      <c r="C762" s="16" t="s">
        <v>122</v>
      </c>
      <c r="D762" s="16" t="s">
        <v>31</v>
      </c>
      <c r="E762" s="16" t="s">
        <v>21</v>
      </c>
      <c r="F762" s="16" t="s">
        <v>14</v>
      </c>
      <c r="G762" s="17" t="str">
        <f t="shared" si="18"/>
        <v xml:space="preserve"> sept cent trente sept mille</v>
      </c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spans="2:20" x14ac:dyDescent="0.35">
      <c r="B763" s="16">
        <v>738000</v>
      </c>
      <c r="C763" s="16" t="s">
        <v>122</v>
      </c>
      <c r="D763" s="16" t="s">
        <v>31</v>
      </c>
      <c r="E763" s="16" t="s">
        <v>25</v>
      </c>
      <c r="F763" s="16" t="s">
        <v>14</v>
      </c>
      <c r="G763" s="17" t="str">
        <f t="shared" si="18"/>
        <v xml:space="preserve"> sept cent trente huit mille</v>
      </c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spans="2:20" x14ac:dyDescent="0.35">
      <c r="B764" s="16">
        <v>739000</v>
      </c>
      <c r="C764" s="16" t="s">
        <v>122</v>
      </c>
      <c r="D764" s="16" t="s">
        <v>31</v>
      </c>
      <c r="E764" s="16" t="s">
        <v>28</v>
      </c>
      <c r="F764" s="16" t="s">
        <v>14</v>
      </c>
      <c r="G764" s="17" t="str">
        <f t="shared" si="18"/>
        <v xml:space="preserve"> sept cent trente neuf mille</v>
      </c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spans="2:20" x14ac:dyDescent="0.35">
      <c r="B765" s="16">
        <v>740000</v>
      </c>
      <c r="C765" s="16" t="s">
        <v>122</v>
      </c>
      <c r="D765" s="16" t="s">
        <v>51</v>
      </c>
      <c r="E765" s="16"/>
      <c r="F765" s="16" t="s">
        <v>14</v>
      </c>
      <c r="G765" s="17" t="str">
        <f t="shared" si="18"/>
        <v xml:space="preserve"> sept cent quarante mille</v>
      </c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spans="2:20" x14ac:dyDescent="0.35">
      <c r="B766" s="16">
        <v>741000</v>
      </c>
      <c r="C766" s="16" t="s">
        <v>122</v>
      </c>
      <c r="D766" s="16" t="s">
        <v>51</v>
      </c>
      <c r="E766" s="16" t="s">
        <v>32</v>
      </c>
      <c r="F766" s="16" t="s">
        <v>14</v>
      </c>
      <c r="G766" s="17" t="str">
        <f t="shared" si="18"/>
        <v xml:space="preserve"> sept cent quarante et un mille</v>
      </c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spans="2:20" x14ac:dyDescent="0.35">
      <c r="B767" s="16">
        <v>742000</v>
      </c>
      <c r="C767" s="16" t="s">
        <v>122</v>
      </c>
      <c r="D767" s="16" t="s">
        <v>51</v>
      </c>
      <c r="E767" s="16" t="s">
        <v>16</v>
      </c>
      <c r="F767" s="16" t="s">
        <v>14</v>
      </c>
      <c r="G767" s="17" t="str">
        <f t="shared" ref="G767:G830" si="19">CONCATENATE(C767,D767,E767,F767)</f>
        <v xml:space="preserve"> sept cent quarante deux mille</v>
      </c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spans="2:20" x14ac:dyDescent="0.35">
      <c r="B768" s="16">
        <v>743000</v>
      </c>
      <c r="C768" s="16" t="s">
        <v>122</v>
      </c>
      <c r="D768" s="16" t="s">
        <v>51</v>
      </c>
      <c r="E768" s="16" t="s">
        <v>20</v>
      </c>
      <c r="F768" s="16" t="s">
        <v>14</v>
      </c>
      <c r="G768" s="17" t="str">
        <f t="shared" si="19"/>
        <v xml:space="preserve"> sept cent quarante trois mille</v>
      </c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spans="2:20" x14ac:dyDescent="0.35">
      <c r="B769" s="16">
        <v>744000</v>
      </c>
      <c r="C769" s="16" t="s">
        <v>122</v>
      </c>
      <c r="D769" s="16" t="s">
        <v>51</v>
      </c>
      <c r="E769" s="16" t="s">
        <v>24</v>
      </c>
      <c r="F769" s="16" t="s">
        <v>14</v>
      </c>
      <c r="G769" s="17" t="str">
        <f t="shared" si="19"/>
        <v xml:space="preserve"> sept cent quarante quatre mille</v>
      </c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spans="2:20" x14ac:dyDescent="0.35">
      <c r="B770" s="16">
        <v>745000</v>
      </c>
      <c r="C770" s="16" t="s">
        <v>122</v>
      </c>
      <c r="D770" s="16" t="s">
        <v>51</v>
      </c>
      <c r="E770" s="16" t="s">
        <v>11</v>
      </c>
      <c r="F770" s="16" t="s">
        <v>14</v>
      </c>
      <c r="G770" s="17" t="str">
        <f t="shared" si="19"/>
        <v xml:space="preserve"> sept cent quarante cinq mille</v>
      </c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spans="2:20" x14ac:dyDescent="0.35">
      <c r="B771" s="16">
        <v>746000</v>
      </c>
      <c r="C771" s="16" t="s">
        <v>122</v>
      </c>
      <c r="D771" s="16" t="s">
        <v>51</v>
      </c>
      <c r="E771" s="16" t="s">
        <v>116</v>
      </c>
      <c r="F771" s="16" t="s">
        <v>14</v>
      </c>
      <c r="G771" s="17" t="str">
        <f t="shared" si="19"/>
        <v xml:space="preserve"> sept cent quarante six mille</v>
      </c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spans="2:20" x14ac:dyDescent="0.35">
      <c r="B772" s="16">
        <v>747000</v>
      </c>
      <c r="C772" s="16" t="s">
        <v>122</v>
      </c>
      <c r="D772" s="16" t="s">
        <v>51</v>
      </c>
      <c r="E772" s="16" t="s">
        <v>21</v>
      </c>
      <c r="F772" s="16" t="s">
        <v>14</v>
      </c>
      <c r="G772" s="17" t="str">
        <f t="shared" si="19"/>
        <v xml:space="preserve"> sept cent quarante sept mille</v>
      </c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spans="2:20" x14ac:dyDescent="0.35">
      <c r="B773" s="16">
        <v>748000</v>
      </c>
      <c r="C773" s="16" t="s">
        <v>122</v>
      </c>
      <c r="D773" s="16" t="s">
        <v>51</v>
      </c>
      <c r="E773" s="16" t="s">
        <v>25</v>
      </c>
      <c r="F773" s="16" t="s">
        <v>14</v>
      </c>
      <c r="G773" s="17" t="str">
        <f t="shared" si="19"/>
        <v xml:space="preserve"> sept cent quarante huit mille</v>
      </c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spans="2:20" x14ac:dyDescent="0.35">
      <c r="B774" s="16">
        <v>749000</v>
      </c>
      <c r="C774" s="16" t="s">
        <v>122</v>
      </c>
      <c r="D774" s="16" t="s">
        <v>51</v>
      </c>
      <c r="E774" s="16" t="s">
        <v>28</v>
      </c>
      <c r="F774" s="16" t="s">
        <v>14</v>
      </c>
      <c r="G774" s="17" t="str">
        <f t="shared" si="19"/>
        <v xml:space="preserve"> sept cent quarante neuf mille</v>
      </c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spans="2:20" x14ac:dyDescent="0.35">
      <c r="B775" s="16">
        <v>750000</v>
      </c>
      <c r="C775" s="16" t="s">
        <v>122</v>
      </c>
      <c r="D775" s="16" t="s">
        <v>61</v>
      </c>
      <c r="E775" s="16"/>
      <c r="F775" s="16" t="s">
        <v>14</v>
      </c>
      <c r="G775" s="17" t="str">
        <f t="shared" si="19"/>
        <v xml:space="preserve"> sept cent cinquante mille</v>
      </c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spans="2:20" x14ac:dyDescent="0.35">
      <c r="B776" s="16">
        <v>751000</v>
      </c>
      <c r="C776" s="16" t="s">
        <v>122</v>
      </c>
      <c r="D776" s="16" t="s">
        <v>61</v>
      </c>
      <c r="E776" s="16" t="s">
        <v>32</v>
      </c>
      <c r="F776" s="16" t="s">
        <v>14</v>
      </c>
      <c r="G776" s="17" t="str">
        <f t="shared" si="19"/>
        <v xml:space="preserve"> sept cent cinquante et un mille</v>
      </c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spans="2:20" x14ac:dyDescent="0.35">
      <c r="B777" s="16">
        <v>752000</v>
      </c>
      <c r="C777" s="16" t="s">
        <v>122</v>
      </c>
      <c r="D777" s="16" t="s">
        <v>61</v>
      </c>
      <c r="E777" s="16" t="s">
        <v>16</v>
      </c>
      <c r="F777" s="16" t="s">
        <v>14</v>
      </c>
      <c r="G777" s="17" t="str">
        <f t="shared" si="19"/>
        <v xml:space="preserve"> sept cent cinquante deux mille</v>
      </c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spans="2:20" x14ac:dyDescent="0.35">
      <c r="B778" s="16">
        <v>753000</v>
      </c>
      <c r="C778" s="16" t="s">
        <v>122</v>
      </c>
      <c r="D778" s="16" t="s">
        <v>61</v>
      </c>
      <c r="E778" s="16" t="s">
        <v>20</v>
      </c>
      <c r="F778" s="16" t="s">
        <v>14</v>
      </c>
      <c r="G778" s="17" t="str">
        <f t="shared" si="19"/>
        <v xml:space="preserve"> sept cent cinquante trois mille</v>
      </c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spans="2:20" x14ac:dyDescent="0.35">
      <c r="B779" s="16">
        <v>754000</v>
      </c>
      <c r="C779" s="16" t="s">
        <v>122</v>
      </c>
      <c r="D779" s="16" t="s">
        <v>61</v>
      </c>
      <c r="E779" s="16" t="s">
        <v>24</v>
      </c>
      <c r="F779" s="16" t="s">
        <v>14</v>
      </c>
      <c r="G779" s="17" t="str">
        <f t="shared" si="19"/>
        <v xml:space="preserve"> sept cent cinquante quatre mille</v>
      </c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spans="2:20" x14ac:dyDescent="0.35">
      <c r="B780" s="16">
        <v>755000</v>
      </c>
      <c r="C780" s="16" t="s">
        <v>122</v>
      </c>
      <c r="D780" s="16" t="s">
        <v>61</v>
      </c>
      <c r="E780" s="16" t="s">
        <v>11</v>
      </c>
      <c r="F780" s="16" t="s">
        <v>14</v>
      </c>
      <c r="G780" s="17" t="str">
        <f t="shared" si="19"/>
        <v xml:space="preserve"> sept cent cinquante cinq mille</v>
      </c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spans="2:20" x14ac:dyDescent="0.35">
      <c r="B781" s="16">
        <v>756000</v>
      </c>
      <c r="C781" s="16" t="s">
        <v>122</v>
      </c>
      <c r="D781" s="16" t="s">
        <v>61</v>
      </c>
      <c r="E781" s="16" t="s">
        <v>116</v>
      </c>
      <c r="F781" s="16" t="s">
        <v>14</v>
      </c>
      <c r="G781" s="17" t="str">
        <f t="shared" si="19"/>
        <v xml:space="preserve"> sept cent cinquante six mille</v>
      </c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spans="2:20" x14ac:dyDescent="0.35">
      <c r="B782" s="16">
        <v>757000</v>
      </c>
      <c r="C782" s="16" t="s">
        <v>122</v>
      </c>
      <c r="D782" s="16" t="s">
        <v>61</v>
      </c>
      <c r="E782" s="16" t="s">
        <v>21</v>
      </c>
      <c r="F782" s="16" t="s">
        <v>14</v>
      </c>
      <c r="G782" s="17" t="str">
        <f t="shared" si="19"/>
        <v xml:space="preserve"> sept cent cinquante sept mille</v>
      </c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spans="2:20" x14ac:dyDescent="0.35">
      <c r="B783" s="16">
        <v>758000</v>
      </c>
      <c r="C783" s="16" t="s">
        <v>122</v>
      </c>
      <c r="D783" s="16" t="s">
        <v>61</v>
      </c>
      <c r="E783" s="16" t="s">
        <v>25</v>
      </c>
      <c r="F783" s="16" t="s">
        <v>14</v>
      </c>
      <c r="G783" s="17" t="str">
        <f t="shared" si="19"/>
        <v xml:space="preserve"> sept cent cinquante huit mille</v>
      </c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spans="2:20" x14ac:dyDescent="0.35">
      <c r="B784" s="16">
        <v>759000</v>
      </c>
      <c r="C784" s="16" t="s">
        <v>122</v>
      </c>
      <c r="D784" s="16" t="s">
        <v>61</v>
      </c>
      <c r="E784" s="16" t="s">
        <v>28</v>
      </c>
      <c r="F784" s="16" t="s">
        <v>14</v>
      </c>
      <c r="G784" s="17" t="str">
        <f t="shared" si="19"/>
        <v xml:space="preserve"> sept cent cinquante neuf mille</v>
      </c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spans="2:20" x14ac:dyDescent="0.35">
      <c r="B785" s="16">
        <v>760000</v>
      </c>
      <c r="C785" s="16" t="s">
        <v>122</v>
      </c>
      <c r="D785" s="16" t="s">
        <v>71</v>
      </c>
      <c r="E785" s="16"/>
      <c r="F785" s="16" t="s">
        <v>14</v>
      </c>
      <c r="G785" s="17" t="str">
        <f t="shared" si="19"/>
        <v xml:space="preserve"> sept cent soixante mille</v>
      </c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spans="2:20" x14ac:dyDescent="0.35">
      <c r="B786" s="16">
        <v>761000</v>
      </c>
      <c r="C786" s="16" t="s">
        <v>122</v>
      </c>
      <c r="D786" s="16" t="s">
        <v>71</v>
      </c>
      <c r="E786" s="16" t="s">
        <v>32</v>
      </c>
      <c r="F786" s="16" t="s">
        <v>14</v>
      </c>
      <c r="G786" s="17" t="str">
        <f t="shared" si="19"/>
        <v xml:space="preserve"> sept cent soixante et un mille</v>
      </c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spans="2:20" x14ac:dyDescent="0.35">
      <c r="B787" s="16">
        <v>762000</v>
      </c>
      <c r="C787" s="16" t="s">
        <v>122</v>
      </c>
      <c r="D787" s="16" t="s">
        <v>71</v>
      </c>
      <c r="E787" s="16" t="s">
        <v>16</v>
      </c>
      <c r="F787" s="16" t="s">
        <v>14</v>
      </c>
      <c r="G787" s="17" t="str">
        <f t="shared" si="19"/>
        <v xml:space="preserve"> sept cent soixante deux mille</v>
      </c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spans="2:20" x14ac:dyDescent="0.35">
      <c r="B788" s="16">
        <v>763000</v>
      </c>
      <c r="C788" s="16" t="s">
        <v>122</v>
      </c>
      <c r="D788" s="16" t="s">
        <v>71</v>
      </c>
      <c r="E788" s="16" t="s">
        <v>20</v>
      </c>
      <c r="F788" s="16" t="s">
        <v>14</v>
      </c>
      <c r="G788" s="17" t="str">
        <f t="shared" si="19"/>
        <v xml:space="preserve"> sept cent soixante trois mille</v>
      </c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spans="2:20" x14ac:dyDescent="0.35">
      <c r="B789" s="16">
        <v>764000</v>
      </c>
      <c r="C789" s="16" t="s">
        <v>122</v>
      </c>
      <c r="D789" s="16" t="s">
        <v>71</v>
      </c>
      <c r="E789" s="16" t="s">
        <v>24</v>
      </c>
      <c r="F789" s="16" t="s">
        <v>14</v>
      </c>
      <c r="G789" s="17" t="str">
        <f t="shared" si="19"/>
        <v xml:space="preserve"> sept cent soixante quatre mille</v>
      </c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spans="2:20" x14ac:dyDescent="0.35">
      <c r="B790" s="16">
        <v>765000</v>
      </c>
      <c r="C790" s="16" t="s">
        <v>122</v>
      </c>
      <c r="D790" s="16" t="s">
        <v>71</v>
      </c>
      <c r="E790" s="16" t="s">
        <v>11</v>
      </c>
      <c r="F790" s="16" t="s">
        <v>14</v>
      </c>
      <c r="G790" s="17" t="str">
        <f t="shared" si="19"/>
        <v xml:space="preserve"> sept cent soixante cinq mille</v>
      </c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spans="2:20" x14ac:dyDescent="0.35">
      <c r="B791" s="16">
        <v>766000</v>
      </c>
      <c r="C791" s="16" t="s">
        <v>122</v>
      </c>
      <c r="D791" s="16" t="s">
        <v>71</v>
      </c>
      <c r="E791" s="16" t="s">
        <v>116</v>
      </c>
      <c r="F791" s="16" t="s">
        <v>14</v>
      </c>
      <c r="G791" s="17" t="str">
        <f t="shared" si="19"/>
        <v xml:space="preserve"> sept cent soixante six mille</v>
      </c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spans="2:20" x14ac:dyDescent="0.35">
      <c r="B792" s="16">
        <v>767000</v>
      </c>
      <c r="C792" s="16" t="s">
        <v>122</v>
      </c>
      <c r="D792" s="16" t="s">
        <v>71</v>
      </c>
      <c r="E792" s="16" t="s">
        <v>21</v>
      </c>
      <c r="F792" s="16" t="s">
        <v>14</v>
      </c>
      <c r="G792" s="17" t="str">
        <f t="shared" si="19"/>
        <v xml:space="preserve"> sept cent soixante sept mille</v>
      </c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spans="2:20" x14ac:dyDescent="0.35">
      <c r="B793" s="16">
        <v>768000</v>
      </c>
      <c r="C793" s="16" t="s">
        <v>122</v>
      </c>
      <c r="D793" s="16" t="s">
        <v>71</v>
      </c>
      <c r="E793" s="16" t="s">
        <v>25</v>
      </c>
      <c r="F793" s="16" t="s">
        <v>14</v>
      </c>
      <c r="G793" s="17" t="str">
        <f t="shared" si="19"/>
        <v xml:space="preserve"> sept cent soixante huit mille</v>
      </c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spans="2:20" x14ac:dyDescent="0.35">
      <c r="B794" s="16">
        <v>769000</v>
      </c>
      <c r="C794" s="16" t="s">
        <v>122</v>
      </c>
      <c r="D794" s="16" t="s">
        <v>71</v>
      </c>
      <c r="E794" s="16" t="s">
        <v>28</v>
      </c>
      <c r="F794" s="16" t="s">
        <v>14</v>
      </c>
      <c r="G794" s="17" t="str">
        <f t="shared" si="19"/>
        <v xml:space="preserve"> sept cent soixante neuf mille</v>
      </c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spans="2:20" x14ac:dyDescent="0.35">
      <c r="B795" s="16">
        <v>770000</v>
      </c>
      <c r="C795" s="16" t="s">
        <v>122</v>
      </c>
      <c r="D795" s="16" t="s">
        <v>71</v>
      </c>
      <c r="E795" s="16" t="s">
        <v>39</v>
      </c>
      <c r="F795" s="16" t="s">
        <v>14</v>
      </c>
      <c r="G795" s="17" t="str">
        <f t="shared" si="19"/>
        <v xml:space="preserve"> sept cent soixante dix mille</v>
      </c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spans="2:20" x14ac:dyDescent="0.35">
      <c r="B796" s="16">
        <v>771000</v>
      </c>
      <c r="C796" s="16" t="s">
        <v>122</v>
      </c>
      <c r="D796" s="16" t="s">
        <v>71</v>
      </c>
      <c r="E796" s="16" t="s">
        <v>82</v>
      </c>
      <c r="F796" s="16" t="s">
        <v>14</v>
      </c>
      <c r="G796" s="17" t="str">
        <f t="shared" si="19"/>
        <v xml:space="preserve"> sept cent soixante et onze mille</v>
      </c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spans="2:20" x14ac:dyDescent="0.35">
      <c r="B797" s="16">
        <v>772000</v>
      </c>
      <c r="C797" s="16" t="s">
        <v>122</v>
      </c>
      <c r="D797" s="16" t="s">
        <v>71</v>
      </c>
      <c r="E797" s="16" t="s">
        <v>44</v>
      </c>
      <c r="F797" s="16" t="s">
        <v>14</v>
      </c>
      <c r="G797" s="17" t="str">
        <f t="shared" si="19"/>
        <v xml:space="preserve"> sept cent soixante douze mille</v>
      </c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spans="2:20" x14ac:dyDescent="0.35">
      <c r="B798" s="16">
        <v>773000</v>
      </c>
      <c r="C798" s="16" t="s">
        <v>122</v>
      </c>
      <c r="D798" s="16" t="s">
        <v>71</v>
      </c>
      <c r="E798" s="16" t="s">
        <v>46</v>
      </c>
      <c r="F798" s="16" t="s">
        <v>14</v>
      </c>
      <c r="G798" s="17" t="str">
        <f t="shared" si="19"/>
        <v xml:space="preserve"> sept cent soixante treize mille</v>
      </c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spans="2:20" x14ac:dyDescent="0.35">
      <c r="B799" s="16">
        <v>774000</v>
      </c>
      <c r="C799" s="16" t="s">
        <v>122</v>
      </c>
      <c r="D799" s="16" t="s">
        <v>71</v>
      </c>
      <c r="E799" s="16" t="s">
        <v>48</v>
      </c>
      <c r="F799" s="16" t="s">
        <v>14</v>
      </c>
      <c r="G799" s="17" t="str">
        <f t="shared" si="19"/>
        <v xml:space="preserve"> sept cent soixante quatorze mille</v>
      </c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spans="2:20" x14ac:dyDescent="0.35">
      <c r="B800" s="16">
        <v>775000</v>
      </c>
      <c r="C800" s="16" t="s">
        <v>122</v>
      </c>
      <c r="D800" s="16" t="s">
        <v>71</v>
      </c>
      <c r="E800" s="16" t="s">
        <v>13</v>
      </c>
      <c r="F800" s="16" t="s">
        <v>14</v>
      </c>
      <c r="G800" s="17" t="str">
        <f t="shared" si="19"/>
        <v xml:space="preserve"> sept cent soixante quinze mille</v>
      </c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spans="2:20" x14ac:dyDescent="0.35">
      <c r="B801" s="16">
        <v>776000</v>
      </c>
      <c r="C801" s="16" t="s">
        <v>122</v>
      </c>
      <c r="D801" s="16" t="s">
        <v>71</v>
      </c>
      <c r="E801" s="16" t="s">
        <v>19</v>
      </c>
      <c r="F801" s="16" t="s">
        <v>14</v>
      </c>
      <c r="G801" s="17" t="str">
        <f t="shared" si="19"/>
        <v xml:space="preserve"> sept cent soixante seize mille</v>
      </c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spans="2:20" x14ac:dyDescent="0.35">
      <c r="B802" s="16">
        <v>777000</v>
      </c>
      <c r="C802" s="16" t="s">
        <v>122</v>
      </c>
      <c r="D802" s="16" t="s">
        <v>71</v>
      </c>
      <c r="E802" s="16" t="s">
        <v>23</v>
      </c>
      <c r="F802" s="16" t="s">
        <v>14</v>
      </c>
      <c r="G802" s="17" t="str">
        <f t="shared" si="19"/>
        <v xml:space="preserve"> sept cent soixante dix sept mille</v>
      </c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spans="2:20" x14ac:dyDescent="0.35">
      <c r="B803" s="16">
        <v>778000</v>
      </c>
      <c r="C803" s="16" t="s">
        <v>122</v>
      </c>
      <c r="D803" s="16" t="s">
        <v>71</v>
      </c>
      <c r="E803" s="16" t="s">
        <v>27</v>
      </c>
      <c r="F803" s="16" t="s">
        <v>14</v>
      </c>
      <c r="G803" s="17" t="str">
        <f t="shared" si="19"/>
        <v xml:space="preserve"> sept cent soixante dix huit mille</v>
      </c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spans="2:20" x14ac:dyDescent="0.35">
      <c r="B804" s="16">
        <v>779000</v>
      </c>
      <c r="C804" s="16" t="s">
        <v>122</v>
      </c>
      <c r="D804" s="16" t="s">
        <v>71</v>
      </c>
      <c r="E804" s="16" t="s">
        <v>30</v>
      </c>
      <c r="F804" s="16" t="s">
        <v>14</v>
      </c>
      <c r="G804" s="17" t="str">
        <f t="shared" si="19"/>
        <v xml:space="preserve"> sept cent soixante dix neuf mille</v>
      </c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spans="2:20" x14ac:dyDescent="0.35">
      <c r="B805" s="16">
        <v>780000</v>
      </c>
      <c r="C805" s="16" t="s">
        <v>122</v>
      </c>
      <c r="D805" s="16" t="s">
        <v>92</v>
      </c>
      <c r="E805" s="16"/>
      <c r="F805" s="16" t="s">
        <v>14</v>
      </c>
      <c r="G805" s="17" t="str">
        <f t="shared" si="19"/>
        <v xml:space="preserve"> sept cent quatre vingt mille</v>
      </c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spans="2:20" x14ac:dyDescent="0.35">
      <c r="B806" s="16">
        <v>781000</v>
      </c>
      <c r="C806" s="16" t="s">
        <v>122</v>
      </c>
      <c r="D806" s="16" t="s">
        <v>92</v>
      </c>
      <c r="E806" s="16" t="s">
        <v>32</v>
      </c>
      <c r="F806" s="16" t="s">
        <v>14</v>
      </c>
      <c r="G806" s="17" t="str">
        <f t="shared" si="19"/>
        <v xml:space="preserve"> sept cent quatre vingt et un mille</v>
      </c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spans="2:20" x14ac:dyDescent="0.35">
      <c r="B807" s="16">
        <v>782000</v>
      </c>
      <c r="C807" s="16" t="s">
        <v>122</v>
      </c>
      <c r="D807" s="16" t="s">
        <v>92</v>
      </c>
      <c r="E807" s="16" t="s">
        <v>16</v>
      </c>
      <c r="F807" s="16" t="s">
        <v>14</v>
      </c>
      <c r="G807" s="17" t="str">
        <f t="shared" si="19"/>
        <v xml:space="preserve"> sept cent quatre vingt deux mille</v>
      </c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spans="2:20" x14ac:dyDescent="0.35">
      <c r="B808" s="16">
        <v>783000</v>
      </c>
      <c r="C808" s="16" t="s">
        <v>122</v>
      </c>
      <c r="D808" s="16" t="s">
        <v>92</v>
      </c>
      <c r="E808" s="16" t="s">
        <v>20</v>
      </c>
      <c r="F808" s="16" t="s">
        <v>14</v>
      </c>
      <c r="G808" s="17" t="str">
        <f t="shared" si="19"/>
        <v xml:space="preserve"> sept cent quatre vingt trois mille</v>
      </c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spans="2:20" x14ac:dyDescent="0.35">
      <c r="B809" s="16">
        <v>784000</v>
      </c>
      <c r="C809" s="16" t="s">
        <v>122</v>
      </c>
      <c r="D809" s="16" t="s">
        <v>92</v>
      </c>
      <c r="E809" s="16" t="s">
        <v>24</v>
      </c>
      <c r="F809" s="16" t="s">
        <v>14</v>
      </c>
      <c r="G809" s="17" t="str">
        <f t="shared" si="19"/>
        <v xml:space="preserve"> sept cent quatre vingt quatre mille</v>
      </c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spans="2:20" x14ac:dyDescent="0.35">
      <c r="B810" s="16">
        <v>785000</v>
      </c>
      <c r="C810" s="16" t="s">
        <v>122</v>
      </c>
      <c r="D810" s="16" t="s">
        <v>92</v>
      </c>
      <c r="E810" s="16" t="s">
        <v>11</v>
      </c>
      <c r="F810" s="16" t="s">
        <v>14</v>
      </c>
      <c r="G810" s="17" t="str">
        <f t="shared" si="19"/>
        <v xml:space="preserve"> sept cent quatre vingt cinq mille</v>
      </c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spans="2:20" x14ac:dyDescent="0.35">
      <c r="B811" s="16">
        <v>786000</v>
      </c>
      <c r="C811" s="16" t="s">
        <v>122</v>
      </c>
      <c r="D811" s="16" t="s">
        <v>92</v>
      </c>
      <c r="E811" s="16" t="s">
        <v>116</v>
      </c>
      <c r="F811" s="16" t="s">
        <v>14</v>
      </c>
      <c r="G811" s="17" t="str">
        <f t="shared" si="19"/>
        <v xml:space="preserve"> sept cent quatre vingt six mille</v>
      </c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spans="2:20" x14ac:dyDescent="0.35">
      <c r="B812" s="16">
        <v>787000</v>
      </c>
      <c r="C812" s="16" t="s">
        <v>122</v>
      </c>
      <c r="D812" s="16" t="s">
        <v>92</v>
      </c>
      <c r="E812" s="16" t="s">
        <v>21</v>
      </c>
      <c r="F812" s="16" t="s">
        <v>14</v>
      </c>
      <c r="G812" s="17" t="str">
        <f t="shared" si="19"/>
        <v xml:space="preserve"> sept cent quatre vingt sept mille</v>
      </c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spans="2:20" x14ac:dyDescent="0.35">
      <c r="B813" s="16">
        <v>788000</v>
      </c>
      <c r="C813" s="16" t="s">
        <v>122</v>
      </c>
      <c r="D813" s="16" t="s">
        <v>92</v>
      </c>
      <c r="E813" s="16" t="s">
        <v>25</v>
      </c>
      <c r="F813" s="16" t="s">
        <v>14</v>
      </c>
      <c r="G813" s="17" t="str">
        <f t="shared" si="19"/>
        <v xml:space="preserve"> sept cent quatre vingt huit mille</v>
      </c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spans="2:20" x14ac:dyDescent="0.35">
      <c r="B814" s="16">
        <v>789000</v>
      </c>
      <c r="C814" s="16" t="s">
        <v>122</v>
      </c>
      <c r="D814" s="16" t="s">
        <v>92</v>
      </c>
      <c r="E814" s="16" t="s">
        <v>28</v>
      </c>
      <c r="F814" s="16" t="s">
        <v>14</v>
      </c>
      <c r="G814" s="17" t="str">
        <f t="shared" si="19"/>
        <v xml:space="preserve"> sept cent quatre vingt neuf mille</v>
      </c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spans="2:20" x14ac:dyDescent="0.35">
      <c r="B815" s="16">
        <v>790000</v>
      </c>
      <c r="C815" s="16" t="s">
        <v>122</v>
      </c>
      <c r="D815" s="16" t="s">
        <v>92</v>
      </c>
      <c r="E815" s="16" t="s">
        <v>39</v>
      </c>
      <c r="F815" s="16" t="s">
        <v>14</v>
      </c>
      <c r="G815" s="17" t="str">
        <f t="shared" si="19"/>
        <v xml:space="preserve"> sept cent quatre vingt dix mille</v>
      </c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spans="2:20" x14ac:dyDescent="0.35">
      <c r="B816" s="16">
        <v>791000</v>
      </c>
      <c r="C816" s="16" t="s">
        <v>122</v>
      </c>
      <c r="D816" s="16" t="s">
        <v>92</v>
      </c>
      <c r="E816" s="16" t="s">
        <v>42</v>
      </c>
      <c r="F816" s="16" t="s">
        <v>14</v>
      </c>
      <c r="G816" s="17" t="str">
        <f t="shared" si="19"/>
        <v xml:space="preserve"> sept cent quatre vingt onze mille</v>
      </c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spans="2:20" x14ac:dyDescent="0.35">
      <c r="B817" s="16">
        <v>792000</v>
      </c>
      <c r="C817" s="16" t="s">
        <v>122</v>
      </c>
      <c r="D817" s="16" t="s">
        <v>92</v>
      </c>
      <c r="E817" s="16" t="s">
        <v>44</v>
      </c>
      <c r="F817" s="16" t="s">
        <v>14</v>
      </c>
      <c r="G817" s="17" t="str">
        <f t="shared" si="19"/>
        <v xml:space="preserve"> sept cent quatre vingt douze mille</v>
      </c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spans="2:20" x14ac:dyDescent="0.35">
      <c r="B818" s="16">
        <v>793000</v>
      </c>
      <c r="C818" s="16" t="s">
        <v>122</v>
      </c>
      <c r="D818" s="16" t="s">
        <v>92</v>
      </c>
      <c r="E818" s="16" t="s">
        <v>46</v>
      </c>
      <c r="F818" s="16" t="s">
        <v>14</v>
      </c>
      <c r="G818" s="17" t="str">
        <f t="shared" si="19"/>
        <v xml:space="preserve"> sept cent quatre vingt treize mille</v>
      </c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spans="2:20" x14ac:dyDescent="0.35">
      <c r="B819" s="16">
        <v>794000</v>
      </c>
      <c r="C819" s="16" t="s">
        <v>122</v>
      </c>
      <c r="D819" s="16" t="s">
        <v>92</v>
      </c>
      <c r="E819" s="16" t="s">
        <v>48</v>
      </c>
      <c r="F819" s="16" t="s">
        <v>14</v>
      </c>
      <c r="G819" s="17" t="str">
        <f t="shared" si="19"/>
        <v xml:space="preserve"> sept cent quatre vingt quatorze mille</v>
      </c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spans="2:20" x14ac:dyDescent="0.35">
      <c r="B820" s="16">
        <v>795000</v>
      </c>
      <c r="C820" s="16" t="s">
        <v>122</v>
      </c>
      <c r="D820" s="16" t="s">
        <v>92</v>
      </c>
      <c r="E820" s="16" t="s">
        <v>13</v>
      </c>
      <c r="F820" s="16" t="s">
        <v>14</v>
      </c>
      <c r="G820" s="17" t="str">
        <f t="shared" si="19"/>
        <v xml:space="preserve"> sept cent quatre vingt quinze mille</v>
      </c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spans="2:20" x14ac:dyDescent="0.35">
      <c r="B821" s="16">
        <v>796000</v>
      </c>
      <c r="C821" s="16" t="s">
        <v>122</v>
      </c>
      <c r="D821" s="16" t="s">
        <v>92</v>
      </c>
      <c r="E821" s="16" t="s">
        <v>19</v>
      </c>
      <c r="F821" s="16" t="s">
        <v>14</v>
      </c>
      <c r="G821" s="17" t="str">
        <f t="shared" si="19"/>
        <v xml:space="preserve"> sept cent quatre vingt seize mille</v>
      </c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spans="2:20" x14ac:dyDescent="0.35">
      <c r="B822" s="16">
        <v>797000</v>
      </c>
      <c r="C822" s="16" t="s">
        <v>122</v>
      </c>
      <c r="D822" s="16" t="s">
        <v>92</v>
      </c>
      <c r="E822" s="16" t="s">
        <v>23</v>
      </c>
      <c r="F822" s="16" t="s">
        <v>14</v>
      </c>
      <c r="G822" s="17" t="str">
        <f t="shared" si="19"/>
        <v xml:space="preserve"> sept cent quatre vingt dix sept mille</v>
      </c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spans="2:20" x14ac:dyDescent="0.35">
      <c r="B823" s="16">
        <v>798000</v>
      </c>
      <c r="C823" s="16" t="s">
        <v>122</v>
      </c>
      <c r="D823" s="16" t="s">
        <v>92</v>
      </c>
      <c r="E823" s="16" t="s">
        <v>27</v>
      </c>
      <c r="F823" s="16" t="s">
        <v>14</v>
      </c>
      <c r="G823" s="17" t="str">
        <f t="shared" si="19"/>
        <v xml:space="preserve"> sept cent quatre vingt dix huit mille</v>
      </c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spans="2:20" x14ac:dyDescent="0.35">
      <c r="B824" s="16">
        <v>799000</v>
      </c>
      <c r="C824" s="16" t="s">
        <v>122</v>
      </c>
      <c r="D824" s="16" t="s">
        <v>92</v>
      </c>
      <c r="E824" s="16" t="s">
        <v>30</v>
      </c>
      <c r="F824" s="16" t="s">
        <v>14</v>
      </c>
      <c r="G824" s="17" t="str">
        <f t="shared" si="19"/>
        <v xml:space="preserve"> sept cent quatre vingt dix neuf mille</v>
      </c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spans="2:20" x14ac:dyDescent="0.35">
      <c r="B825" s="16">
        <v>800000</v>
      </c>
      <c r="C825" s="16" t="s">
        <v>123</v>
      </c>
      <c r="D825" s="16"/>
      <c r="E825" s="16"/>
      <c r="F825" s="16" t="s">
        <v>14</v>
      </c>
      <c r="G825" s="17" t="str">
        <f t="shared" si="19"/>
        <v xml:space="preserve"> huit cent mille</v>
      </c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spans="2:20" x14ac:dyDescent="0.35">
      <c r="B826" s="16">
        <v>801000</v>
      </c>
      <c r="C826" s="16" t="s">
        <v>123</v>
      </c>
      <c r="D826" s="16" t="s">
        <v>114</v>
      </c>
      <c r="E826" s="16"/>
      <c r="F826" s="16" t="s">
        <v>14</v>
      </c>
      <c r="G826" s="17" t="str">
        <f t="shared" si="19"/>
        <v xml:space="preserve"> huit cent un mille</v>
      </c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spans="2:20" x14ac:dyDescent="0.35">
      <c r="B827" s="16">
        <v>802000</v>
      </c>
      <c r="C827" s="16" t="s">
        <v>123</v>
      </c>
      <c r="D827" s="16" t="s">
        <v>16</v>
      </c>
      <c r="E827" s="16"/>
      <c r="F827" s="16" t="s">
        <v>14</v>
      </c>
      <c r="G827" s="17" t="str">
        <f t="shared" si="19"/>
        <v xml:space="preserve"> huit cent deux mille</v>
      </c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spans="2:20" x14ac:dyDescent="0.35">
      <c r="B828" s="16">
        <v>803000</v>
      </c>
      <c r="C828" s="16" t="s">
        <v>123</v>
      </c>
      <c r="D828" s="16" t="s">
        <v>20</v>
      </c>
      <c r="E828" s="16"/>
      <c r="F828" s="16" t="s">
        <v>14</v>
      </c>
      <c r="G828" s="17" t="str">
        <f t="shared" si="19"/>
        <v xml:space="preserve"> huit cent trois mille</v>
      </c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spans="2:20" x14ac:dyDescent="0.35">
      <c r="B829" s="16">
        <v>804000</v>
      </c>
      <c r="C829" s="16" t="s">
        <v>123</v>
      </c>
      <c r="D829" s="16" t="s">
        <v>24</v>
      </c>
      <c r="E829" s="16"/>
      <c r="F829" s="16" t="s">
        <v>14</v>
      </c>
      <c r="G829" s="17" t="str">
        <f t="shared" si="19"/>
        <v xml:space="preserve"> huit cent quatre mille</v>
      </c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spans="2:20" x14ac:dyDescent="0.35">
      <c r="B830" s="16">
        <v>805000</v>
      </c>
      <c r="C830" s="16" t="s">
        <v>123</v>
      </c>
      <c r="D830" s="16" t="s">
        <v>11</v>
      </c>
      <c r="E830" s="16"/>
      <c r="F830" s="16" t="s">
        <v>14</v>
      </c>
      <c r="G830" s="17" t="str">
        <f t="shared" si="19"/>
        <v xml:space="preserve"> huit cent cinq mille</v>
      </c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spans="2:20" x14ac:dyDescent="0.35">
      <c r="B831" s="16">
        <v>806000</v>
      </c>
      <c r="C831" s="16" t="s">
        <v>123</v>
      </c>
      <c r="D831" s="16" t="s">
        <v>17</v>
      </c>
      <c r="E831" s="16"/>
      <c r="F831" s="16" t="s">
        <v>14</v>
      </c>
      <c r="G831" s="17" t="str">
        <f t="shared" ref="G831:G894" si="20">CONCATENATE(C831,D831,E831,F831)</f>
        <v xml:space="preserve"> huit cent six  mille</v>
      </c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spans="2:20" x14ac:dyDescent="0.35">
      <c r="B832" s="16">
        <v>807000</v>
      </c>
      <c r="C832" s="16" t="s">
        <v>123</v>
      </c>
      <c r="D832" s="16" t="s">
        <v>21</v>
      </c>
      <c r="E832" s="16"/>
      <c r="F832" s="16" t="s">
        <v>14</v>
      </c>
      <c r="G832" s="17" t="str">
        <f t="shared" si="20"/>
        <v xml:space="preserve"> huit cent sept mille</v>
      </c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spans="2:20" x14ac:dyDescent="0.35">
      <c r="B833" s="16">
        <v>808000</v>
      </c>
      <c r="C833" s="16" t="s">
        <v>123</v>
      </c>
      <c r="D833" s="16" t="s">
        <v>25</v>
      </c>
      <c r="E833" s="16"/>
      <c r="F833" s="16" t="s">
        <v>14</v>
      </c>
      <c r="G833" s="17" t="str">
        <f t="shared" si="20"/>
        <v xml:space="preserve"> huit cent huit mille</v>
      </c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spans="2:20" x14ac:dyDescent="0.35">
      <c r="B834" s="16">
        <v>809000</v>
      </c>
      <c r="C834" s="16" t="s">
        <v>123</v>
      </c>
      <c r="D834" s="16" t="s">
        <v>28</v>
      </c>
      <c r="E834" s="16"/>
      <c r="F834" s="16" t="s">
        <v>14</v>
      </c>
      <c r="G834" s="17" t="str">
        <f t="shared" si="20"/>
        <v xml:space="preserve"> huit cent neuf mille</v>
      </c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spans="2:20" x14ac:dyDescent="0.35">
      <c r="B835" s="16">
        <v>810000</v>
      </c>
      <c r="C835" s="16" t="s">
        <v>123</v>
      </c>
      <c r="D835" s="16" t="s">
        <v>39</v>
      </c>
      <c r="E835" s="16"/>
      <c r="F835" s="16" t="s">
        <v>14</v>
      </c>
      <c r="G835" s="17" t="str">
        <f t="shared" si="20"/>
        <v xml:space="preserve"> huit cent dix mille</v>
      </c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spans="2:20" x14ac:dyDescent="0.35">
      <c r="B836" s="16">
        <v>811000</v>
      </c>
      <c r="C836" s="16" t="s">
        <v>123</v>
      </c>
      <c r="D836" s="16" t="s">
        <v>42</v>
      </c>
      <c r="E836" s="16"/>
      <c r="F836" s="16" t="s">
        <v>14</v>
      </c>
      <c r="G836" s="17" t="str">
        <f t="shared" si="20"/>
        <v xml:space="preserve"> huit cent onze mille</v>
      </c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spans="2:20" x14ac:dyDescent="0.35">
      <c r="B837" s="16">
        <v>812000</v>
      </c>
      <c r="C837" s="16" t="s">
        <v>123</v>
      </c>
      <c r="D837" s="16" t="s">
        <v>44</v>
      </c>
      <c r="E837" s="16"/>
      <c r="F837" s="16" t="s">
        <v>14</v>
      </c>
      <c r="G837" s="17" t="str">
        <f t="shared" si="20"/>
        <v xml:space="preserve"> huit cent douze mille</v>
      </c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spans="2:20" x14ac:dyDescent="0.35">
      <c r="B838" s="16">
        <v>813000</v>
      </c>
      <c r="C838" s="16" t="s">
        <v>123</v>
      </c>
      <c r="D838" s="16" t="s">
        <v>46</v>
      </c>
      <c r="E838" s="16"/>
      <c r="F838" s="16" t="s">
        <v>14</v>
      </c>
      <c r="G838" s="17" t="str">
        <f t="shared" si="20"/>
        <v xml:space="preserve"> huit cent treize mille</v>
      </c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spans="2:20" x14ac:dyDescent="0.35">
      <c r="B839" s="16">
        <v>814000</v>
      </c>
      <c r="C839" s="16" t="s">
        <v>123</v>
      </c>
      <c r="D839" s="16" t="s">
        <v>48</v>
      </c>
      <c r="E839" s="16"/>
      <c r="F839" s="16" t="s">
        <v>14</v>
      </c>
      <c r="G839" s="17" t="str">
        <f t="shared" si="20"/>
        <v xml:space="preserve"> huit cent quatorze mille</v>
      </c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spans="2:20" x14ac:dyDescent="0.35">
      <c r="B840" s="16">
        <v>815000</v>
      </c>
      <c r="C840" s="16" t="s">
        <v>123</v>
      </c>
      <c r="D840" s="16" t="s">
        <v>13</v>
      </c>
      <c r="E840" s="16"/>
      <c r="F840" s="16" t="s">
        <v>14</v>
      </c>
      <c r="G840" s="17" t="str">
        <f t="shared" si="20"/>
        <v xml:space="preserve"> huit cent quinze mille</v>
      </c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spans="2:20" x14ac:dyDescent="0.35">
      <c r="B841" s="16">
        <v>816000</v>
      </c>
      <c r="C841" s="16" t="s">
        <v>123</v>
      </c>
      <c r="D841" s="16" t="s">
        <v>19</v>
      </c>
      <c r="E841" s="16"/>
      <c r="F841" s="16" t="s">
        <v>14</v>
      </c>
      <c r="G841" s="17" t="str">
        <f t="shared" si="20"/>
        <v xml:space="preserve"> huit cent seize mille</v>
      </c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spans="2:20" x14ac:dyDescent="0.35">
      <c r="B842" s="16">
        <v>817000</v>
      </c>
      <c r="C842" s="16" t="s">
        <v>123</v>
      </c>
      <c r="D842" s="16" t="s">
        <v>23</v>
      </c>
      <c r="E842" s="16"/>
      <c r="F842" s="16" t="s">
        <v>14</v>
      </c>
      <c r="G842" s="17" t="str">
        <f t="shared" si="20"/>
        <v xml:space="preserve"> huit cent dix sept mille</v>
      </c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spans="2:20" x14ac:dyDescent="0.35">
      <c r="B843" s="16">
        <v>818000</v>
      </c>
      <c r="C843" s="16" t="s">
        <v>123</v>
      </c>
      <c r="D843" s="16" t="s">
        <v>27</v>
      </c>
      <c r="E843" s="16"/>
      <c r="F843" s="16" t="s">
        <v>14</v>
      </c>
      <c r="G843" s="17" t="str">
        <f t="shared" si="20"/>
        <v xml:space="preserve"> huit cent dix huit mille</v>
      </c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spans="2:20" x14ac:dyDescent="0.35">
      <c r="B844" s="16">
        <v>819000</v>
      </c>
      <c r="C844" s="16" t="s">
        <v>123</v>
      </c>
      <c r="D844" s="16" t="s">
        <v>30</v>
      </c>
      <c r="E844" s="16"/>
      <c r="F844" s="16" t="s">
        <v>14</v>
      </c>
      <c r="G844" s="17" t="str">
        <f t="shared" si="20"/>
        <v xml:space="preserve"> huit cent dix neuf mille</v>
      </c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spans="2:20" x14ac:dyDescent="0.35">
      <c r="B845" s="16">
        <v>820000</v>
      </c>
      <c r="C845" s="16" t="s">
        <v>123</v>
      </c>
      <c r="D845" s="16" t="s">
        <v>10</v>
      </c>
      <c r="E845" s="16"/>
      <c r="F845" s="16" t="s">
        <v>14</v>
      </c>
      <c r="G845" s="17" t="str">
        <f t="shared" si="20"/>
        <v xml:space="preserve"> huit cent vingt mille</v>
      </c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spans="2:20" x14ac:dyDescent="0.35">
      <c r="B846" s="16">
        <v>821000</v>
      </c>
      <c r="C846" s="16" t="s">
        <v>123</v>
      </c>
      <c r="D846" s="16" t="s">
        <v>115</v>
      </c>
      <c r="E846" s="16" t="s">
        <v>32</v>
      </c>
      <c r="F846" s="16" t="s">
        <v>14</v>
      </c>
      <c r="G846" s="17" t="str">
        <f t="shared" si="20"/>
        <v xml:space="preserve"> huit cent vingt  et un mille</v>
      </c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spans="2:20" x14ac:dyDescent="0.35">
      <c r="B847" s="16">
        <v>822000</v>
      </c>
      <c r="C847" s="16" t="s">
        <v>123</v>
      </c>
      <c r="D847" s="16" t="s">
        <v>10</v>
      </c>
      <c r="E847" s="16" t="s">
        <v>16</v>
      </c>
      <c r="F847" s="16" t="s">
        <v>14</v>
      </c>
      <c r="G847" s="17" t="str">
        <f t="shared" si="20"/>
        <v xml:space="preserve"> huit cent vingt deux mille</v>
      </c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spans="2:20" x14ac:dyDescent="0.35">
      <c r="B848" s="16">
        <v>823000</v>
      </c>
      <c r="C848" s="16" t="s">
        <v>123</v>
      </c>
      <c r="D848" s="16" t="s">
        <v>10</v>
      </c>
      <c r="E848" s="16" t="s">
        <v>20</v>
      </c>
      <c r="F848" s="16" t="s">
        <v>14</v>
      </c>
      <c r="G848" s="17" t="str">
        <f t="shared" si="20"/>
        <v xml:space="preserve"> huit cent vingt trois mille</v>
      </c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spans="2:20" x14ac:dyDescent="0.35">
      <c r="B849" s="16">
        <v>824000</v>
      </c>
      <c r="C849" s="16" t="s">
        <v>123</v>
      </c>
      <c r="D849" s="16" t="s">
        <v>10</v>
      </c>
      <c r="E849" s="16" t="s">
        <v>24</v>
      </c>
      <c r="F849" s="16" t="s">
        <v>14</v>
      </c>
      <c r="G849" s="17" t="str">
        <f t="shared" si="20"/>
        <v xml:space="preserve"> huit cent vingt quatre mille</v>
      </c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spans="2:20" x14ac:dyDescent="0.35">
      <c r="B850" s="16">
        <v>825000</v>
      </c>
      <c r="C850" s="16" t="s">
        <v>123</v>
      </c>
      <c r="D850" s="16" t="s">
        <v>10</v>
      </c>
      <c r="E850" s="16" t="s">
        <v>11</v>
      </c>
      <c r="F850" s="16" t="s">
        <v>14</v>
      </c>
      <c r="G850" s="17" t="str">
        <f t="shared" si="20"/>
        <v xml:space="preserve"> huit cent vingt cinq mille</v>
      </c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spans="2:20" x14ac:dyDescent="0.35">
      <c r="B851" s="16">
        <v>826000</v>
      </c>
      <c r="C851" s="16" t="s">
        <v>123</v>
      </c>
      <c r="D851" s="16" t="s">
        <v>10</v>
      </c>
      <c r="E851" s="16" t="s">
        <v>116</v>
      </c>
      <c r="F851" s="16" t="s">
        <v>14</v>
      </c>
      <c r="G851" s="17" t="str">
        <f t="shared" si="20"/>
        <v xml:space="preserve"> huit cent vingt six mille</v>
      </c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spans="2:20" x14ac:dyDescent="0.35">
      <c r="B852" s="16">
        <v>827000</v>
      </c>
      <c r="C852" s="16" t="s">
        <v>123</v>
      </c>
      <c r="D852" s="16" t="s">
        <v>10</v>
      </c>
      <c r="E852" s="16" t="s">
        <v>21</v>
      </c>
      <c r="F852" s="16" t="s">
        <v>14</v>
      </c>
      <c r="G852" s="17" t="str">
        <f t="shared" si="20"/>
        <v xml:space="preserve"> huit cent vingt sept mille</v>
      </c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spans="2:20" x14ac:dyDescent="0.35">
      <c r="B853" s="16">
        <v>828000</v>
      </c>
      <c r="C853" s="16" t="s">
        <v>123</v>
      </c>
      <c r="D853" s="16" t="s">
        <v>10</v>
      </c>
      <c r="E853" s="16" t="s">
        <v>25</v>
      </c>
      <c r="F853" s="16" t="s">
        <v>14</v>
      </c>
      <c r="G853" s="17" t="str">
        <f t="shared" si="20"/>
        <v xml:space="preserve"> huit cent vingt huit mille</v>
      </c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spans="2:20" x14ac:dyDescent="0.35">
      <c r="B854" s="16">
        <v>829000</v>
      </c>
      <c r="C854" s="16" t="s">
        <v>123</v>
      </c>
      <c r="D854" s="16" t="s">
        <v>10</v>
      </c>
      <c r="E854" s="16" t="s">
        <v>28</v>
      </c>
      <c r="F854" s="16" t="s">
        <v>14</v>
      </c>
      <c r="G854" s="17" t="str">
        <f t="shared" si="20"/>
        <v xml:space="preserve"> huit cent vingt neuf mille</v>
      </c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spans="2:20" x14ac:dyDescent="0.35">
      <c r="B855" s="16">
        <v>830000</v>
      </c>
      <c r="C855" s="16" t="s">
        <v>123</v>
      </c>
      <c r="D855" s="16" t="s">
        <v>31</v>
      </c>
      <c r="E855" s="16"/>
      <c r="F855" s="16" t="s">
        <v>14</v>
      </c>
      <c r="G855" s="17" t="str">
        <f t="shared" si="20"/>
        <v xml:space="preserve"> huit cent trente mille</v>
      </c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spans="2:20" x14ac:dyDescent="0.35">
      <c r="B856" s="16">
        <v>831000</v>
      </c>
      <c r="C856" s="16" t="s">
        <v>123</v>
      </c>
      <c r="D856" s="16" t="s">
        <v>31</v>
      </c>
      <c r="E856" s="16" t="s">
        <v>32</v>
      </c>
      <c r="F856" s="16" t="s">
        <v>14</v>
      </c>
      <c r="G856" s="17" t="str">
        <f t="shared" si="20"/>
        <v xml:space="preserve"> huit cent trente et un mille</v>
      </c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spans="2:20" x14ac:dyDescent="0.35">
      <c r="B857" s="16">
        <v>832000</v>
      </c>
      <c r="C857" s="16" t="s">
        <v>123</v>
      </c>
      <c r="D857" s="16" t="s">
        <v>31</v>
      </c>
      <c r="E857" s="16" t="s">
        <v>16</v>
      </c>
      <c r="F857" s="16" t="s">
        <v>14</v>
      </c>
      <c r="G857" s="17" t="str">
        <f t="shared" si="20"/>
        <v xml:space="preserve"> huit cent trente deux mille</v>
      </c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spans="2:20" x14ac:dyDescent="0.35">
      <c r="B858" s="16">
        <v>833000</v>
      </c>
      <c r="C858" s="16" t="s">
        <v>123</v>
      </c>
      <c r="D858" s="16" t="s">
        <v>31</v>
      </c>
      <c r="E858" s="16" t="s">
        <v>20</v>
      </c>
      <c r="F858" s="16" t="s">
        <v>14</v>
      </c>
      <c r="G858" s="17" t="str">
        <f t="shared" si="20"/>
        <v xml:space="preserve"> huit cent trente trois mille</v>
      </c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spans="2:20" x14ac:dyDescent="0.35">
      <c r="B859" s="16">
        <v>834000</v>
      </c>
      <c r="C859" s="16" t="s">
        <v>123</v>
      </c>
      <c r="D859" s="16" t="s">
        <v>31</v>
      </c>
      <c r="E859" s="16" t="s">
        <v>24</v>
      </c>
      <c r="F859" s="16" t="s">
        <v>14</v>
      </c>
      <c r="G859" s="17" t="str">
        <f t="shared" si="20"/>
        <v xml:space="preserve"> huit cent trente quatre mille</v>
      </c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spans="2:20" x14ac:dyDescent="0.35">
      <c r="B860" s="16">
        <v>835000</v>
      </c>
      <c r="C860" s="16" t="s">
        <v>123</v>
      </c>
      <c r="D860" s="16" t="s">
        <v>31</v>
      </c>
      <c r="E860" s="16" t="s">
        <v>11</v>
      </c>
      <c r="F860" s="16" t="s">
        <v>14</v>
      </c>
      <c r="G860" s="17" t="str">
        <f t="shared" si="20"/>
        <v xml:space="preserve"> huit cent trente cinq mille</v>
      </c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spans="2:20" x14ac:dyDescent="0.35">
      <c r="B861" s="16">
        <v>836000</v>
      </c>
      <c r="C861" s="16" t="s">
        <v>123</v>
      </c>
      <c r="D861" s="16" t="s">
        <v>31</v>
      </c>
      <c r="E861" s="16" t="s">
        <v>116</v>
      </c>
      <c r="F861" s="16" t="s">
        <v>14</v>
      </c>
      <c r="G861" s="17" t="str">
        <f t="shared" si="20"/>
        <v xml:space="preserve"> huit cent trente six mille</v>
      </c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spans="2:20" x14ac:dyDescent="0.35">
      <c r="B862" s="16">
        <v>837000</v>
      </c>
      <c r="C862" s="16" t="s">
        <v>123</v>
      </c>
      <c r="D862" s="16" t="s">
        <v>31</v>
      </c>
      <c r="E862" s="16" t="s">
        <v>21</v>
      </c>
      <c r="F862" s="16" t="s">
        <v>14</v>
      </c>
      <c r="G862" s="17" t="str">
        <f t="shared" si="20"/>
        <v xml:space="preserve"> huit cent trente sept mille</v>
      </c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spans="2:20" x14ac:dyDescent="0.35">
      <c r="B863" s="16">
        <v>838000</v>
      </c>
      <c r="C863" s="16" t="s">
        <v>123</v>
      </c>
      <c r="D863" s="16" t="s">
        <v>31</v>
      </c>
      <c r="E863" s="16" t="s">
        <v>25</v>
      </c>
      <c r="F863" s="16" t="s">
        <v>14</v>
      </c>
      <c r="G863" s="17" t="str">
        <f t="shared" si="20"/>
        <v xml:space="preserve"> huit cent trente huit mille</v>
      </c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spans="2:20" x14ac:dyDescent="0.35">
      <c r="B864" s="16">
        <v>839000</v>
      </c>
      <c r="C864" s="16" t="s">
        <v>123</v>
      </c>
      <c r="D864" s="16" t="s">
        <v>31</v>
      </c>
      <c r="E864" s="16" t="s">
        <v>28</v>
      </c>
      <c r="F864" s="16" t="s">
        <v>14</v>
      </c>
      <c r="G864" s="17" t="str">
        <f t="shared" si="20"/>
        <v xml:space="preserve"> huit cent trente neuf mille</v>
      </c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spans="2:20" x14ac:dyDescent="0.35">
      <c r="B865" s="16">
        <v>840000</v>
      </c>
      <c r="C865" s="16" t="s">
        <v>123</v>
      </c>
      <c r="D865" s="16" t="s">
        <v>51</v>
      </c>
      <c r="E865" s="16"/>
      <c r="F865" s="16" t="s">
        <v>14</v>
      </c>
      <c r="G865" s="17" t="str">
        <f t="shared" si="20"/>
        <v xml:space="preserve"> huit cent quarante mille</v>
      </c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spans="2:20" x14ac:dyDescent="0.35">
      <c r="B866" s="16">
        <v>841000</v>
      </c>
      <c r="C866" s="16" t="s">
        <v>123</v>
      </c>
      <c r="D866" s="16" t="s">
        <v>51</v>
      </c>
      <c r="E866" s="16" t="s">
        <v>32</v>
      </c>
      <c r="F866" s="16" t="s">
        <v>14</v>
      </c>
      <c r="G866" s="17" t="str">
        <f t="shared" si="20"/>
        <v xml:space="preserve"> huit cent quarante et un mille</v>
      </c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spans="2:20" x14ac:dyDescent="0.35">
      <c r="B867" s="16">
        <v>842000</v>
      </c>
      <c r="C867" s="16" t="s">
        <v>123</v>
      </c>
      <c r="D867" s="16" t="s">
        <v>51</v>
      </c>
      <c r="E867" s="16" t="s">
        <v>16</v>
      </c>
      <c r="F867" s="16" t="s">
        <v>14</v>
      </c>
      <c r="G867" s="17" t="str">
        <f t="shared" si="20"/>
        <v xml:space="preserve"> huit cent quarante deux mille</v>
      </c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spans="2:20" x14ac:dyDescent="0.35">
      <c r="B868" s="16">
        <v>843000</v>
      </c>
      <c r="C868" s="16" t="s">
        <v>123</v>
      </c>
      <c r="D868" s="16" t="s">
        <v>51</v>
      </c>
      <c r="E868" s="16" t="s">
        <v>20</v>
      </c>
      <c r="F868" s="16" t="s">
        <v>14</v>
      </c>
      <c r="G868" s="17" t="str">
        <f t="shared" si="20"/>
        <v xml:space="preserve"> huit cent quarante trois mille</v>
      </c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spans="2:20" x14ac:dyDescent="0.35">
      <c r="B869" s="16">
        <v>844000</v>
      </c>
      <c r="C869" s="16" t="s">
        <v>123</v>
      </c>
      <c r="D869" s="16" t="s">
        <v>51</v>
      </c>
      <c r="E869" s="16" t="s">
        <v>24</v>
      </c>
      <c r="F869" s="16" t="s">
        <v>14</v>
      </c>
      <c r="G869" s="17" t="str">
        <f t="shared" si="20"/>
        <v xml:space="preserve"> huit cent quarante quatre mille</v>
      </c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spans="2:20" x14ac:dyDescent="0.35">
      <c r="B870" s="16">
        <v>845000</v>
      </c>
      <c r="C870" s="16" t="s">
        <v>123</v>
      </c>
      <c r="D870" s="16" t="s">
        <v>51</v>
      </c>
      <c r="E870" s="16" t="s">
        <v>11</v>
      </c>
      <c r="F870" s="16" t="s">
        <v>14</v>
      </c>
      <c r="G870" s="17" t="str">
        <f t="shared" si="20"/>
        <v xml:space="preserve"> huit cent quarante cinq mille</v>
      </c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spans="2:20" x14ac:dyDescent="0.35">
      <c r="B871" s="16">
        <v>846000</v>
      </c>
      <c r="C871" s="16" t="s">
        <v>123</v>
      </c>
      <c r="D871" s="16" t="s">
        <v>51</v>
      </c>
      <c r="E871" s="16" t="s">
        <v>116</v>
      </c>
      <c r="F871" s="16" t="s">
        <v>14</v>
      </c>
      <c r="G871" s="17" t="str">
        <f t="shared" si="20"/>
        <v xml:space="preserve"> huit cent quarante six mille</v>
      </c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spans="2:20" x14ac:dyDescent="0.35">
      <c r="B872" s="16">
        <v>847000</v>
      </c>
      <c r="C872" s="16" t="s">
        <v>123</v>
      </c>
      <c r="D872" s="16" t="s">
        <v>51</v>
      </c>
      <c r="E872" s="16" t="s">
        <v>21</v>
      </c>
      <c r="F872" s="16" t="s">
        <v>14</v>
      </c>
      <c r="G872" s="17" t="str">
        <f t="shared" si="20"/>
        <v xml:space="preserve"> huit cent quarante sept mille</v>
      </c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spans="2:20" x14ac:dyDescent="0.35">
      <c r="B873" s="16">
        <v>848000</v>
      </c>
      <c r="C873" s="16" t="s">
        <v>123</v>
      </c>
      <c r="D873" s="16" t="s">
        <v>51</v>
      </c>
      <c r="E873" s="16" t="s">
        <v>25</v>
      </c>
      <c r="F873" s="16" t="s">
        <v>14</v>
      </c>
      <c r="G873" s="17" t="str">
        <f t="shared" si="20"/>
        <v xml:space="preserve"> huit cent quarante huit mille</v>
      </c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spans="2:20" x14ac:dyDescent="0.35">
      <c r="B874" s="16">
        <v>849000</v>
      </c>
      <c r="C874" s="16" t="s">
        <v>123</v>
      </c>
      <c r="D874" s="16" t="s">
        <v>51</v>
      </c>
      <c r="E874" s="16" t="s">
        <v>28</v>
      </c>
      <c r="F874" s="16" t="s">
        <v>14</v>
      </c>
      <c r="G874" s="17" t="str">
        <f t="shared" si="20"/>
        <v xml:space="preserve"> huit cent quarante neuf mille</v>
      </c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spans="2:20" x14ac:dyDescent="0.35">
      <c r="B875" s="16">
        <v>850000</v>
      </c>
      <c r="C875" s="16" t="s">
        <v>123</v>
      </c>
      <c r="D875" s="16" t="s">
        <v>61</v>
      </c>
      <c r="E875" s="16"/>
      <c r="F875" s="16" t="s">
        <v>14</v>
      </c>
      <c r="G875" s="17" t="str">
        <f t="shared" si="20"/>
        <v xml:space="preserve"> huit cent cinquante mille</v>
      </c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spans="2:20" x14ac:dyDescent="0.35">
      <c r="B876" s="16">
        <v>851000</v>
      </c>
      <c r="C876" s="16" t="s">
        <v>123</v>
      </c>
      <c r="D876" s="16" t="s">
        <v>61</v>
      </c>
      <c r="E876" s="16" t="s">
        <v>32</v>
      </c>
      <c r="F876" s="16" t="s">
        <v>14</v>
      </c>
      <c r="G876" s="17" t="str">
        <f t="shared" si="20"/>
        <v xml:space="preserve"> huit cent cinquante et un mille</v>
      </c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spans="2:20" x14ac:dyDescent="0.35">
      <c r="B877" s="16">
        <v>852000</v>
      </c>
      <c r="C877" s="16" t="s">
        <v>123</v>
      </c>
      <c r="D877" s="16" t="s">
        <v>61</v>
      </c>
      <c r="E877" s="16" t="s">
        <v>16</v>
      </c>
      <c r="F877" s="16" t="s">
        <v>14</v>
      </c>
      <c r="G877" s="17" t="str">
        <f t="shared" si="20"/>
        <v xml:space="preserve"> huit cent cinquante deux mille</v>
      </c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spans="2:20" x14ac:dyDescent="0.35">
      <c r="B878" s="16">
        <v>853000</v>
      </c>
      <c r="C878" s="16" t="s">
        <v>123</v>
      </c>
      <c r="D878" s="16" t="s">
        <v>61</v>
      </c>
      <c r="E878" s="16" t="s">
        <v>20</v>
      </c>
      <c r="F878" s="16" t="s">
        <v>14</v>
      </c>
      <c r="G878" s="17" t="str">
        <f t="shared" si="20"/>
        <v xml:space="preserve"> huit cent cinquante trois mille</v>
      </c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spans="2:20" x14ac:dyDescent="0.35">
      <c r="B879" s="16">
        <v>854000</v>
      </c>
      <c r="C879" s="16" t="s">
        <v>123</v>
      </c>
      <c r="D879" s="16" t="s">
        <v>61</v>
      </c>
      <c r="E879" s="16" t="s">
        <v>24</v>
      </c>
      <c r="F879" s="16" t="s">
        <v>14</v>
      </c>
      <c r="G879" s="17" t="str">
        <f t="shared" si="20"/>
        <v xml:space="preserve"> huit cent cinquante quatre mille</v>
      </c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spans="2:20" x14ac:dyDescent="0.35">
      <c r="B880" s="16">
        <v>855000</v>
      </c>
      <c r="C880" s="16" t="s">
        <v>123</v>
      </c>
      <c r="D880" s="16" t="s">
        <v>61</v>
      </c>
      <c r="E880" s="16" t="s">
        <v>11</v>
      </c>
      <c r="F880" s="16" t="s">
        <v>14</v>
      </c>
      <c r="G880" s="17" t="str">
        <f t="shared" si="20"/>
        <v xml:space="preserve"> huit cent cinquante cinq mille</v>
      </c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spans="2:20" x14ac:dyDescent="0.35">
      <c r="B881" s="16">
        <v>856000</v>
      </c>
      <c r="C881" s="16" t="s">
        <v>123</v>
      </c>
      <c r="D881" s="16" t="s">
        <v>61</v>
      </c>
      <c r="E881" s="16" t="s">
        <v>116</v>
      </c>
      <c r="F881" s="16" t="s">
        <v>14</v>
      </c>
      <c r="G881" s="17" t="str">
        <f t="shared" si="20"/>
        <v xml:space="preserve"> huit cent cinquante six mille</v>
      </c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spans="2:20" x14ac:dyDescent="0.35">
      <c r="B882" s="16">
        <v>857000</v>
      </c>
      <c r="C882" s="16" t="s">
        <v>123</v>
      </c>
      <c r="D882" s="16" t="s">
        <v>61</v>
      </c>
      <c r="E882" s="16" t="s">
        <v>21</v>
      </c>
      <c r="F882" s="16" t="s">
        <v>14</v>
      </c>
      <c r="G882" s="17" t="str">
        <f t="shared" si="20"/>
        <v xml:space="preserve"> huit cent cinquante sept mille</v>
      </c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spans="2:20" x14ac:dyDescent="0.35">
      <c r="B883" s="16">
        <v>858000</v>
      </c>
      <c r="C883" s="16" t="s">
        <v>123</v>
      </c>
      <c r="D883" s="16" t="s">
        <v>61</v>
      </c>
      <c r="E883" s="16" t="s">
        <v>25</v>
      </c>
      <c r="F883" s="16" t="s">
        <v>14</v>
      </c>
      <c r="G883" s="17" t="str">
        <f t="shared" si="20"/>
        <v xml:space="preserve"> huit cent cinquante huit mille</v>
      </c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spans="2:20" x14ac:dyDescent="0.35">
      <c r="B884" s="16">
        <v>859000</v>
      </c>
      <c r="C884" s="16" t="s">
        <v>123</v>
      </c>
      <c r="D884" s="16" t="s">
        <v>61</v>
      </c>
      <c r="E884" s="16" t="s">
        <v>28</v>
      </c>
      <c r="F884" s="16" t="s">
        <v>14</v>
      </c>
      <c r="G884" s="17" t="str">
        <f t="shared" si="20"/>
        <v xml:space="preserve"> huit cent cinquante neuf mille</v>
      </c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spans="2:20" x14ac:dyDescent="0.35">
      <c r="B885" s="16">
        <v>860000</v>
      </c>
      <c r="C885" s="16" t="s">
        <v>123</v>
      </c>
      <c r="D885" s="16" t="s">
        <v>71</v>
      </c>
      <c r="E885" s="16"/>
      <c r="F885" s="16" t="s">
        <v>14</v>
      </c>
      <c r="G885" s="17" t="str">
        <f t="shared" si="20"/>
        <v xml:space="preserve"> huit cent soixante mille</v>
      </c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spans="2:20" x14ac:dyDescent="0.35">
      <c r="B886" s="16">
        <v>861000</v>
      </c>
      <c r="C886" s="16" t="s">
        <v>123</v>
      </c>
      <c r="D886" s="16" t="s">
        <v>71</v>
      </c>
      <c r="E886" s="16" t="s">
        <v>32</v>
      </c>
      <c r="F886" s="16" t="s">
        <v>14</v>
      </c>
      <c r="G886" s="17" t="str">
        <f t="shared" si="20"/>
        <v xml:space="preserve"> huit cent soixante et un mille</v>
      </c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spans="2:20" x14ac:dyDescent="0.35">
      <c r="B887" s="16">
        <v>862000</v>
      </c>
      <c r="C887" s="16" t="s">
        <v>123</v>
      </c>
      <c r="D887" s="16" t="s">
        <v>71</v>
      </c>
      <c r="E887" s="16" t="s">
        <v>16</v>
      </c>
      <c r="F887" s="16" t="s">
        <v>14</v>
      </c>
      <c r="G887" s="17" t="str">
        <f t="shared" si="20"/>
        <v xml:space="preserve"> huit cent soixante deux mille</v>
      </c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spans="2:20" x14ac:dyDescent="0.35">
      <c r="B888" s="16">
        <v>863000</v>
      </c>
      <c r="C888" s="16" t="s">
        <v>123</v>
      </c>
      <c r="D888" s="16" t="s">
        <v>71</v>
      </c>
      <c r="E888" s="16" t="s">
        <v>20</v>
      </c>
      <c r="F888" s="16" t="s">
        <v>14</v>
      </c>
      <c r="G888" s="17" t="str">
        <f t="shared" si="20"/>
        <v xml:space="preserve"> huit cent soixante trois mille</v>
      </c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spans="2:20" x14ac:dyDescent="0.35">
      <c r="B889" s="16">
        <v>864000</v>
      </c>
      <c r="C889" s="16" t="s">
        <v>123</v>
      </c>
      <c r="D889" s="16" t="s">
        <v>71</v>
      </c>
      <c r="E889" s="16" t="s">
        <v>24</v>
      </c>
      <c r="F889" s="16" t="s">
        <v>14</v>
      </c>
      <c r="G889" s="17" t="str">
        <f t="shared" si="20"/>
        <v xml:space="preserve"> huit cent soixante quatre mille</v>
      </c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spans="2:20" x14ac:dyDescent="0.35">
      <c r="B890" s="16">
        <v>865000</v>
      </c>
      <c r="C890" s="16" t="s">
        <v>123</v>
      </c>
      <c r="D890" s="16" t="s">
        <v>71</v>
      </c>
      <c r="E890" s="16" t="s">
        <v>11</v>
      </c>
      <c r="F890" s="16" t="s">
        <v>14</v>
      </c>
      <c r="G890" s="17" t="str">
        <f t="shared" si="20"/>
        <v xml:space="preserve"> huit cent soixante cinq mille</v>
      </c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spans="2:20" x14ac:dyDescent="0.35">
      <c r="B891" s="16">
        <v>866000</v>
      </c>
      <c r="C891" s="16" t="s">
        <v>123</v>
      </c>
      <c r="D891" s="16" t="s">
        <v>71</v>
      </c>
      <c r="E891" s="16" t="s">
        <v>116</v>
      </c>
      <c r="F891" s="16" t="s">
        <v>14</v>
      </c>
      <c r="G891" s="17" t="str">
        <f t="shared" si="20"/>
        <v xml:space="preserve"> huit cent soixante six mille</v>
      </c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spans="2:20" x14ac:dyDescent="0.35">
      <c r="B892" s="16">
        <v>867000</v>
      </c>
      <c r="C892" s="16" t="s">
        <v>123</v>
      </c>
      <c r="D892" s="16" t="s">
        <v>71</v>
      </c>
      <c r="E892" s="16" t="s">
        <v>21</v>
      </c>
      <c r="F892" s="16" t="s">
        <v>14</v>
      </c>
      <c r="G892" s="17" t="str">
        <f t="shared" si="20"/>
        <v xml:space="preserve"> huit cent soixante sept mille</v>
      </c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spans="2:20" x14ac:dyDescent="0.35">
      <c r="B893" s="16">
        <v>868000</v>
      </c>
      <c r="C893" s="16" t="s">
        <v>123</v>
      </c>
      <c r="D893" s="16" t="s">
        <v>71</v>
      </c>
      <c r="E893" s="16" t="s">
        <v>25</v>
      </c>
      <c r="F893" s="16" t="s">
        <v>14</v>
      </c>
      <c r="G893" s="17" t="str">
        <f t="shared" si="20"/>
        <v xml:space="preserve"> huit cent soixante huit mille</v>
      </c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spans="2:20" x14ac:dyDescent="0.35">
      <c r="B894" s="16">
        <v>869000</v>
      </c>
      <c r="C894" s="16" t="s">
        <v>123</v>
      </c>
      <c r="D894" s="16" t="s">
        <v>71</v>
      </c>
      <c r="E894" s="16" t="s">
        <v>28</v>
      </c>
      <c r="F894" s="16" t="s">
        <v>14</v>
      </c>
      <c r="G894" s="17" t="str">
        <f t="shared" si="20"/>
        <v xml:space="preserve"> huit cent soixante neuf mille</v>
      </c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spans="2:20" x14ac:dyDescent="0.35">
      <c r="B895" s="16">
        <v>870000</v>
      </c>
      <c r="C895" s="16" t="s">
        <v>123</v>
      </c>
      <c r="D895" s="16" t="s">
        <v>71</v>
      </c>
      <c r="E895" s="16" t="s">
        <v>39</v>
      </c>
      <c r="F895" s="16" t="s">
        <v>14</v>
      </c>
      <c r="G895" s="17" t="str">
        <f t="shared" ref="G895:G958" si="21">CONCATENATE(C895,D895,E895,F895)</f>
        <v xml:space="preserve"> huit cent soixante dix mille</v>
      </c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spans="2:20" x14ac:dyDescent="0.35">
      <c r="B896" s="16">
        <v>871000</v>
      </c>
      <c r="C896" s="16" t="s">
        <v>123</v>
      </c>
      <c r="D896" s="16" t="s">
        <v>71</v>
      </c>
      <c r="E896" s="16" t="s">
        <v>82</v>
      </c>
      <c r="F896" s="16" t="s">
        <v>14</v>
      </c>
      <c r="G896" s="17" t="str">
        <f t="shared" si="21"/>
        <v xml:space="preserve"> huit cent soixante et onze mille</v>
      </c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spans="2:20" x14ac:dyDescent="0.35">
      <c r="B897" s="16">
        <v>872000</v>
      </c>
      <c r="C897" s="16" t="s">
        <v>123</v>
      </c>
      <c r="D897" s="16" t="s">
        <v>71</v>
      </c>
      <c r="E897" s="16" t="s">
        <v>44</v>
      </c>
      <c r="F897" s="16" t="s">
        <v>14</v>
      </c>
      <c r="G897" s="17" t="str">
        <f t="shared" si="21"/>
        <v xml:space="preserve"> huit cent soixante douze mille</v>
      </c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spans="2:20" x14ac:dyDescent="0.35">
      <c r="B898" s="16">
        <v>873000</v>
      </c>
      <c r="C898" s="16" t="s">
        <v>123</v>
      </c>
      <c r="D898" s="16" t="s">
        <v>71</v>
      </c>
      <c r="E898" s="16" t="s">
        <v>46</v>
      </c>
      <c r="F898" s="16" t="s">
        <v>14</v>
      </c>
      <c r="G898" s="17" t="str">
        <f t="shared" si="21"/>
        <v xml:space="preserve"> huit cent soixante treize mille</v>
      </c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spans="2:20" x14ac:dyDescent="0.35">
      <c r="B899" s="16">
        <v>874000</v>
      </c>
      <c r="C899" s="16" t="s">
        <v>123</v>
      </c>
      <c r="D899" s="16" t="s">
        <v>71</v>
      </c>
      <c r="E899" s="16" t="s">
        <v>48</v>
      </c>
      <c r="F899" s="16" t="s">
        <v>14</v>
      </c>
      <c r="G899" s="17" t="str">
        <f t="shared" si="21"/>
        <v xml:space="preserve"> huit cent soixante quatorze mille</v>
      </c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spans="2:20" x14ac:dyDescent="0.35">
      <c r="B900" s="16">
        <v>875000</v>
      </c>
      <c r="C900" s="16" t="s">
        <v>123</v>
      </c>
      <c r="D900" s="16" t="s">
        <v>71</v>
      </c>
      <c r="E900" s="16" t="s">
        <v>13</v>
      </c>
      <c r="F900" s="16" t="s">
        <v>14</v>
      </c>
      <c r="G900" s="17" t="str">
        <f t="shared" si="21"/>
        <v xml:space="preserve"> huit cent soixante quinze mille</v>
      </c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spans="2:20" x14ac:dyDescent="0.35">
      <c r="B901" s="16">
        <v>876000</v>
      </c>
      <c r="C901" s="16" t="s">
        <v>123</v>
      </c>
      <c r="D901" s="16" t="s">
        <v>71</v>
      </c>
      <c r="E901" s="16" t="s">
        <v>19</v>
      </c>
      <c r="F901" s="16" t="s">
        <v>14</v>
      </c>
      <c r="G901" s="17" t="str">
        <f t="shared" si="21"/>
        <v xml:space="preserve"> huit cent soixante seize mille</v>
      </c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spans="2:20" x14ac:dyDescent="0.35">
      <c r="B902" s="16">
        <v>877000</v>
      </c>
      <c r="C902" s="16" t="s">
        <v>123</v>
      </c>
      <c r="D902" s="16" t="s">
        <v>71</v>
      </c>
      <c r="E902" s="16" t="s">
        <v>23</v>
      </c>
      <c r="F902" s="16" t="s">
        <v>14</v>
      </c>
      <c r="G902" s="17" t="str">
        <f t="shared" si="21"/>
        <v xml:space="preserve"> huit cent soixante dix sept mille</v>
      </c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spans="2:20" x14ac:dyDescent="0.35">
      <c r="B903" s="16">
        <v>878000</v>
      </c>
      <c r="C903" s="16" t="s">
        <v>123</v>
      </c>
      <c r="D903" s="16" t="s">
        <v>71</v>
      </c>
      <c r="E903" s="16" t="s">
        <v>27</v>
      </c>
      <c r="F903" s="16" t="s">
        <v>14</v>
      </c>
      <c r="G903" s="17" t="str">
        <f t="shared" si="21"/>
        <v xml:space="preserve"> huit cent soixante dix huit mille</v>
      </c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spans="2:20" x14ac:dyDescent="0.35">
      <c r="B904" s="16">
        <v>879000</v>
      </c>
      <c r="C904" s="16" t="s">
        <v>123</v>
      </c>
      <c r="D904" s="16" t="s">
        <v>71</v>
      </c>
      <c r="E904" s="16" t="s">
        <v>30</v>
      </c>
      <c r="F904" s="16" t="s">
        <v>14</v>
      </c>
      <c r="G904" s="17" t="str">
        <f t="shared" si="21"/>
        <v xml:space="preserve"> huit cent soixante dix neuf mille</v>
      </c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spans="2:20" x14ac:dyDescent="0.35">
      <c r="B905" s="16">
        <v>880000</v>
      </c>
      <c r="C905" s="16" t="s">
        <v>123</v>
      </c>
      <c r="D905" s="16" t="s">
        <v>92</v>
      </c>
      <c r="E905" s="16"/>
      <c r="F905" s="16" t="s">
        <v>14</v>
      </c>
      <c r="G905" s="17" t="str">
        <f t="shared" si="21"/>
        <v xml:space="preserve"> huit cent quatre vingt mille</v>
      </c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spans="2:20" x14ac:dyDescent="0.35">
      <c r="B906" s="16">
        <v>881000</v>
      </c>
      <c r="C906" s="16" t="s">
        <v>123</v>
      </c>
      <c r="D906" s="16" t="s">
        <v>92</v>
      </c>
      <c r="E906" s="16" t="s">
        <v>32</v>
      </c>
      <c r="F906" s="16" t="s">
        <v>14</v>
      </c>
      <c r="G906" s="17" t="str">
        <f t="shared" si="21"/>
        <v xml:space="preserve"> huit cent quatre vingt et un mille</v>
      </c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spans="2:20" x14ac:dyDescent="0.35">
      <c r="B907" s="16">
        <v>882000</v>
      </c>
      <c r="C907" s="16" t="s">
        <v>123</v>
      </c>
      <c r="D907" s="16" t="s">
        <v>92</v>
      </c>
      <c r="E907" s="16" t="s">
        <v>16</v>
      </c>
      <c r="F907" s="16" t="s">
        <v>14</v>
      </c>
      <c r="G907" s="17" t="str">
        <f t="shared" si="21"/>
        <v xml:space="preserve"> huit cent quatre vingt deux mille</v>
      </c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spans="2:20" x14ac:dyDescent="0.35">
      <c r="B908" s="16">
        <v>883000</v>
      </c>
      <c r="C908" s="16" t="s">
        <v>123</v>
      </c>
      <c r="D908" s="16" t="s">
        <v>92</v>
      </c>
      <c r="E908" s="16" t="s">
        <v>20</v>
      </c>
      <c r="F908" s="16" t="s">
        <v>14</v>
      </c>
      <c r="G908" s="17" t="str">
        <f t="shared" si="21"/>
        <v xml:space="preserve"> huit cent quatre vingt trois mille</v>
      </c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spans="2:20" x14ac:dyDescent="0.35">
      <c r="B909" s="16">
        <v>884000</v>
      </c>
      <c r="C909" s="16" t="s">
        <v>123</v>
      </c>
      <c r="D909" s="16" t="s">
        <v>92</v>
      </c>
      <c r="E909" s="16" t="s">
        <v>24</v>
      </c>
      <c r="F909" s="16" t="s">
        <v>14</v>
      </c>
      <c r="G909" s="17" t="str">
        <f t="shared" si="21"/>
        <v xml:space="preserve"> huit cent quatre vingt quatre mille</v>
      </c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spans="2:20" x14ac:dyDescent="0.35">
      <c r="B910" s="16">
        <v>885000</v>
      </c>
      <c r="C910" s="16" t="s">
        <v>123</v>
      </c>
      <c r="D910" s="16" t="s">
        <v>92</v>
      </c>
      <c r="E910" s="16" t="s">
        <v>11</v>
      </c>
      <c r="F910" s="16" t="s">
        <v>14</v>
      </c>
      <c r="G910" s="17" t="str">
        <f t="shared" si="21"/>
        <v xml:space="preserve"> huit cent quatre vingt cinq mille</v>
      </c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spans="2:20" x14ac:dyDescent="0.35">
      <c r="B911" s="16">
        <v>886000</v>
      </c>
      <c r="C911" s="16" t="s">
        <v>123</v>
      </c>
      <c r="D911" s="16" t="s">
        <v>92</v>
      </c>
      <c r="E911" s="16" t="s">
        <v>116</v>
      </c>
      <c r="F911" s="16" t="s">
        <v>14</v>
      </c>
      <c r="G911" s="17" t="str">
        <f t="shared" si="21"/>
        <v xml:space="preserve"> huit cent quatre vingt six mille</v>
      </c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spans="2:20" x14ac:dyDescent="0.35">
      <c r="B912" s="16">
        <v>887000</v>
      </c>
      <c r="C912" s="16" t="s">
        <v>123</v>
      </c>
      <c r="D912" s="16" t="s">
        <v>92</v>
      </c>
      <c r="E912" s="16" t="s">
        <v>21</v>
      </c>
      <c r="F912" s="16" t="s">
        <v>14</v>
      </c>
      <c r="G912" s="17" t="str">
        <f t="shared" si="21"/>
        <v xml:space="preserve"> huit cent quatre vingt sept mille</v>
      </c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spans="2:20" x14ac:dyDescent="0.35">
      <c r="B913" s="16">
        <v>888000</v>
      </c>
      <c r="C913" s="16" t="s">
        <v>123</v>
      </c>
      <c r="D913" s="16" t="s">
        <v>92</v>
      </c>
      <c r="E913" s="16" t="s">
        <v>25</v>
      </c>
      <c r="F913" s="16" t="s">
        <v>14</v>
      </c>
      <c r="G913" s="17" t="str">
        <f t="shared" si="21"/>
        <v xml:space="preserve"> huit cent quatre vingt huit mille</v>
      </c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spans="2:20" x14ac:dyDescent="0.35">
      <c r="B914" s="16">
        <v>889000</v>
      </c>
      <c r="C914" s="16" t="s">
        <v>123</v>
      </c>
      <c r="D914" s="16" t="s">
        <v>92</v>
      </c>
      <c r="E914" s="16" t="s">
        <v>28</v>
      </c>
      <c r="F914" s="16" t="s">
        <v>14</v>
      </c>
      <c r="G914" s="17" t="str">
        <f t="shared" si="21"/>
        <v xml:space="preserve"> huit cent quatre vingt neuf mille</v>
      </c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spans="2:20" x14ac:dyDescent="0.35">
      <c r="B915" s="16">
        <v>890000</v>
      </c>
      <c r="C915" s="16" t="s">
        <v>123</v>
      </c>
      <c r="D915" s="16" t="s">
        <v>92</v>
      </c>
      <c r="E915" s="16" t="s">
        <v>39</v>
      </c>
      <c r="F915" s="16" t="s">
        <v>14</v>
      </c>
      <c r="G915" s="17" t="str">
        <f t="shared" si="21"/>
        <v xml:space="preserve"> huit cent quatre vingt dix mille</v>
      </c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spans="2:20" x14ac:dyDescent="0.35">
      <c r="B916" s="16">
        <v>891000</v>
      </c>
      <c r="C916" s="16" t="s">
        <v>123</v>
      </c>
      <c r="D916" s="16" t="s">
        <v>92</v>
      </c>
      <c r="E916" s="16" t="s">
        <v>42</v>
      </c>
      <c r="F916" s="16" t="s">
        <v>14</v>
      </c>
      <c r="G916" s="17" t="str">
        <f t="shared" si="21"/>
        <v xml:space="preserve"> huit cent quatre vingt onze mille</v>
      </c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spans="2:20" x14ac:dyDescent="0.35">
      <c r="B917" s="16">
        <v>892000</v>
      </c>
      <c r="C917" s="16" t="s">
        <v>123</v>
      </c>
      <c r="D917" s="16" t="s">
        <v>92</v>
      </c>
      <c r="E917" s="16" t="s">
        <v>44</v>
      </c>
      <c r="F917" s="16" t="s">
        <v>14</v>
      </c>
      <c r="G917" s="17" t="str">
        <f t="shared" si="21"/>
        <v xml:space="preserve"> huit cent quatre vingt douze mille</v>
      </c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spans="2:20" x14ac:dyDescent="0.35">
      <c r="B918" s="16">
        <v>893000</v>
      </c>
      <c r="C918" s="16" t="s">
        <v>123</v>
      </c>
      <c r="D918" s="16" t="s">
        <v>92</v>
      </c>
      <c r="E918" s="16" t="s">
        <v>46</v>
      </c>
      <c r="F918" s="16" t="s">
        <v>14</v>
      </c>
      <c r="G918" s="17" t="str">
        <f t="shared" si="21"/>
        <v xml:space="preserve"> huit cent quatre vingt treize mille</v>
      </c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spans="2:20" x14ac:dyDescent="0.35">
      <c r="B919" s="16">
        <v>894000</v>
      </c>
      <c r="C919" s="16" t="s">
        <v>123</v>
      </c>
      <c r="D919" s="16" t="s">
        <v>92</v>
      </c>
      <c r="E919" s="16" t="s">
        <v>48</v>
      </c>
      <c r="F919" s="16" t="s">
        <v>14</v>
      </c>
      <c r="G919" s="17" t="str">
        <f t="shared" si="21"/>
        <v xml:space="preserve"> huit cent quatre vingt quatorze mille</v>
      </c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spans="2:20" x14ac:dyDescent="0.35">
      <c r="B920" s="16">
        <v>895000</v>
      </c>
      <c r="C920" s="16" t="s">
        <v>123</v>
      </c>
      <c r="D920" s="16" t="s">
        <v>92</v>
      </c>
      <c r="E920" s="16" t="s">
        <v>13</v>
      </c>
      <c r="F920" s="16" t="s">
        <v>14</v>
      </c>
      <c r="G920" s="17" t="str">
        <f t="shared" si="21"/>
        <v xml:space="preserve"> huit cent quatre vingt quinze mille</v>
      </c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spans="2:20" x14ac:dyDescent="0.35">
      <c r="B921" s="16">
        <v>896000</v>
      </c>
      <c r="C921" s="16" t="s">
        <v>123</v>
      </c>
      <c r="D921" s="16" t="s">
        <v>92</v>
      </c>
      <c r="E921" s="16" t="s">
        <v>19</v>
      </c>
      <c r="F921" s="16" t="s">
        <v>14</v>
      </c>
      <c r="G921" s="17" t="str">
        <f t="shared" si="21"/>
        <v xml:space="preserve"> huit cent quatre vingt seize mille</v>
      </c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spans="2:20" x14ac:dyDescent="0.35">
      <c r="B922" s="16">
        <v>897000</v>
      </c>
      <c r="C922" s="16" t="s">
        <v>123</v>
      </c>
      <c r="D922" s="16" t="s">
        <v>92</v>
      </c>
      <c r="E922" s="16" t="s">
        <v>23</v>
      </c>
      <c r="F922" s="16" t="s">
        <v>14</v>
      </c>
      <c r="G922" s="17" t="str">
        <f t="shared" si="21"/>
        <v xml:space="preserve"> huit cent quatre vingt dix sept mille</v>
      </c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spans="2:20" x14ac:dyDescent="0.35">
      <c r="B923" s="16">
        <v>898000</v>
      </c>
      <c r="C923" s="16" t="s">
        <v>123</v>
      </c>
      <c r="D923" s="16" t="s">
        <v>92</v>
      </c>
      <c r="E923" s="16" t="s">
        <v>27</v>
      </c>
      <c r="F923" s="16" t="s">
        <v>14</v>
      </c>
      <c r="G923" s="17" t="str">
        <f t="shared" si="21"/>
        <v xml:space="preserve"> huit cent quatre vingt dix huit mille</v>
      </c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spans="2:20" x14ac:dyDescent="0.35">
      <c r="B924" s="16">
        <v>899000</v>
      </c>
      <c r="C924" s="16" t="s">
        <v>123</v>
      </c>
      <c r="D924" s="16" t="s">
        <v>92</v>
      </c>
      <c r="E924" s="16" t="s">
        <v>30</v>
      </c>
      <c r="F924" s="16" t="s">
        <v>14</v>
      </c>
      <c r="G924" s="17" t="str">
        <f t="shared" si="21"/>
        <v xml:space="preserve"> huit cent quatre vingt dix neuf mille</v>
      </c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spans="2:20" x14ac:dyDescent="0.35">
      <c r="B925" s="16">
        <v>900000</v>
      </c>
      <c r="C925" s="16" t="s">
        <v>124</v>
      </c>
      <c r="D925" s="16"/>
      <c r="E925" s="16"/>
      <c r="F925" s="16" t="s">
        <v>14</v>
      </c>
      <c r="G925" s="17" t="str">
        <f t="shared" si="21"/>
        <v xml:space="preserve"> neuf cent mille</v>
      </c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spans="2:20" x14ac:dyDescent="0.35">
      <c r="B926" s="16">
        <v>901000</v>
      </c>
      <c r="C926" s="16" t="s">
        <v>124</v>
      </c>
      <c r="D926" s="16" t="s">
        <v>114</v>
      </c>
      <c r="E926" s="16"/>
      <c r="F926" s="16" t="s">
        <v>14</v>
      </c>
      <c r="G926" s="17" t="str">
        <f t="shared" si="21"/>
        <v xml:space="preserve"> neuf cent un mille</v>
      </c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spans="2:20" x14ac:dyDescent="0.35">
      <c r="B927" s="16">
        <v>902000</v>
      </c>
      <c r="C927" s="16" t="s">
        <v>124</v>
      </c>
      <c r="D927" s="16" t="s">
        <v>16</v>
      </c>
      <c r="E927" s="16"/>
      <c r="F927" s="16" t="s">
        <v>14</v>
      </c>
      <c r="G927" s="17" t="str">
        <f t="shared" si="21"/>
        <v xml:space="preserve"> neuf cent deux mille</v>
      </c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spans="2:20" x14ac:dyDescent="0.35">
      <c r="B928" s="16">
        <v>903000</v>
      </c>
      <c r="C928" s="16" t="s">
        <v>124</v>
      </c>
      <c r="D928" s="16" t="s">
        <v>20</v>
      </c>
      <c r="E928" s="16"/>
      <c r="F928" s="16" t="s">
        <v>14</v>
      </c>
      <c r="G928" s="17" t="str">
        <f t="shared" si="21"/>
        <v xml:space="preserve"> neuf cent trois mille</v>
      </c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spans="2:20" x14ac:dyDescent="0.35">
      <c r="B929" s="16">
        <v>904000</v>
      </c>
      <c r="C929" s="16" t="s">
        <v>124</v>
      </c>
      <c r="D929" s="16" t="s">
        <v>24</v>
      </c>
      <c r="E929" s="16"/>
      <c r="F929" s="16" t="s">
        <v>14</v>
      </c>
      <c r="G929" s="17" t="str">
        <f t="shared" si="21"/>
        <v xml:space="preserve"> neuf cent quatre mille</v>
      </c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spans="2:20" x14ac:dyDescent="0.35">
      <c r="B930" s="16">
        <v>905000</v>
      </c>
      <c r="C930" s="16" t="s">
        <v>124</v>
      </c>
      <c r="D930" s="16" t="s">
        <v>11</v>
      </c>
      <c r="E930" s="16"/>
      <c r="F930" s="16" t="s">
        <v>14</v>
      </c>
      <c r="G930" s="17" t="str">
        <f t="shared" si="21"/>
        <v xml:space="preserve"> neuf cent cinq mille</v>
      </c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spans="2:20" x14ac:dyDescent="0.35">
      <c r="B931" s="16">
        <v>906000</v>
      </c>
      <c r="C931" s="16" t="s">
        <v>124</v>
      </c>
      <c r="D931" s="16" t="s">
        <v>17</v>
      </c>
      <c r="E931" s="16"/>
      <c r="F931" s="16" t="s">
        <v>14</v>
      </c>
      <c r="G931" s="17" t="str">
        <f t="shared" si="21"/>
        <v xml:space="preserve"> neuf cent six  mille</v>
      </c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spans="2:20" x14ac:dyDescent="0.35">
      <c r="B932" s="16">
        <v>907000</v>
      </c>
      <c r="C932" s="16" t="s">
        <v>124</v>
      </c>
      <c r="D932" s="16" t="s">
        <v>21</v>
      </c>
      <c r="E932" s="16"/>
      <c r="F932" s="16" t="s">
        <v>14</v>
      </c>
      <c r="G932" s="17" t="str">
        <f t="shared" si="21"/>
        <v xml:space="preserve"> neuf cent sept mille</v>
      </c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spans="2:20" x14ac:dyDescent="0.35">
      <c r="B933" s="16">
        <v>908000</v>
      </c>
      <c r="C933" s="16" t="s">
        <v>124</v>
      </c>
      <c r="D933" s="16" t="s">
        <v>25</v>
      </c>
      <c r="E933" s="16"/>
      <c r="F933" s="16" t="s">
        <v>14</v>
      </c>
      <c r="G933" s="17" t="str">
        <f t="shared" si="21"/>
        <v xml:space="preserve"> neuf cent huit mille</v>
      </c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spans="2:20" x14ac:dyDescent="0.35">
      <c r="B934" s="16">
        <v>909000</v>
      </c>
      <c r="C934" s="16" t="s">
        <v>124</v>
      </c>
      <c r="D934" s="16" t="s">
        <v>28</v>
      </c>
      <c r="E934" s="16"/>
      <c r="F934" s="16" t="s">
        <v>14</v>
      </c>
      <c r="G934" s="17" t="str">
        <f t="shared" si="21"/>
        <v xml:space="preserve"> neuf cent neuf mille</v>
      </c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spans="2:20" x14ac:dyDescent="0.35">
      <c r="B935" s="16">
        <v>910000</v>
      </c>
      <c r="C935" s="16" t="s">
        <v>124</v>
      </c>
      <c r="D935" s="16" t="s">
        <v>39</v>
      </c>
      <c r="E935" s="16"/>
      <c r="F935" s="16" t="s">
        <v>14</v>
      </c>
      <c r="G935" s="17" t="str">
        <f t="shared" si="21"/>
        <v xml:space="preserve"> neuf cent dix mille</v>
      </c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spans="2:20" x14ac:dyDescent="0.35">
      <c r="B936" s="16">
        <v>911000</v>
      </c>
      <c r="C936" s="16" t="s">
        <v>124</v>
      </c>
      <c r="D936" s="16" t="s">
        <v>42</v>
      </c>
      <c r="E936" s="16"/>
      <c r="F936" s="16" t="s">
        <v>14</v>
      </c>
      <c r="G936" s="17" t="str">
        <f t="shared" si="21"/>
        <v xml:space="preserve"> neuf cent onze mille</v>
      </c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spans="2:20" x14ac:dyDescent="0.35">
      <c r="B937" s="16">
        <v>912000</v>
      </c>
      <c r="C937" s="16" t="s">
        <v>124</v>
      </c>
      <c r="D937" s="16" t="s">
        <v>44</v>
      </c>
      <c r="E937" s="16"/>
      <c r="F937" s="16" t="s">
        <v>14</v>
      </c>
      <c r="G937" s="17" t="str">
        <f t="shared" si="21"/>
        <v xml:space="preserve"> neuf cent douze mille</v>
      </c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spans="2:20" x14ac:dyDescent="0.35">
      <c r="B938" s="16">
        <v>913000</v>
      </c>
      <c r="C938" s="16" t="s">
        <v>124</v>
      </c>
      <c r="D938" s="16" t="s">
        <v>46</v>
      </c>
      <c r="E938" s="16"/>
      <c r="F938" s="16" t="s">
        <v>14</v>
      </c>
      <c r="G938" s="17" t="str">
        <f t="shared" si="21"/>
        <v xml:space="preserve"> neuf cent treize mille</v>
      </c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spans="2:20" x14ac:dyDescent="0.35">
      <c r="B939" s="16">
        <v>914000</v>
      </c>
      <c r="C939" s="16" t="s">
        <v>124</v>
      </c>
      <c r="D939" s="16" t="s">
        <v>48</v>
      </c>
      <c r="E939" s="16"/>
      <c r="F939" s="16" t="s">
        <v>14</v>
      </c>
      <c r="G939" s="17" t="str">
        <f t="shared" si="21"/>
        <v xml:space="preserve"> neuf cent quatorze mille</v>
      </c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spans="2:20" x14ac:dyDescent="0.35">
      <c r="B940" s="16">
        <v>915000</v>
      </c>
      <c r="C940" s="16" t="s">
        <v>124</v>
      </c>
      <c r="D940" s="16" t="s">
        <v>13</v>
      </c>
      <c r="E940" s="16"/>
      <c r="F940" s="16" t="s">
        <v>14</v>
      </c>
      <c r="G940" s="17" t="str">
        <f t="shared" si="21"/>
        <v xml:space="preserve"> neuf cent quinze mille</v>
      </c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spans="2:20" x14ac:dyDescent="0.35">
      <c r="B941" s="16">
        <v>916000</v>
      </c>
      <c r="C941" s="16" t="s">
        <v>124</v>
      </c>
      <c r="D941" s="16" t="s">
        <v>19</v>
      </c>
      <c r="E941" s="16"/>
      <c r="F941" s="16" t="s">
        <v>14</v>
      </c>
      <c r="G941" s="17" t="str">
        <f t="shared" si="21"/>
        <v xml:space="preserve"> neuf cent seize mille</v>
      </c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spans="2:20" x14ac:dyDescent="0.35">
      <c r="B942" s="16">
        <v>917000</v>
      </c>
      <c r="C942" s="16" t="s">
        <v>124</v>
      </c>
      <c r="D942" s="16" t="s">
        <v>23</v>
      </c>
      <c r="E942" s="16"/>
      <c r="F942" s="16" t="s">
        <v>14</v>
      </c>
      <c r="G942" s="17" t="str">
        <f t="shared" si="21"/>
        <v xml:space="preserve"> neuf cent dix sept mille</v>
      </c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spans="2:20" x14ac:dyDescent="0.35">
      <c r="B943" s="16">
        <v>918000</v>
      </c>
      <c r="C943" s="16" t="s">
        <v>124</v>
      </c>
      <c r="D943" s="16" t="s">
        <v>27</v>
      </c>
      <c r="E943" s="16"/>
      <c r="F943" s="16" t="s">
        <v>14</v>
      </c>
      <c r="G943" s="17" t="str">
        <f t="shared" si="21"/>
        <v xml:space="preserve"> neuf cent dix huit mille</v>
      </c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spans="2:20" x14ac:dyDescent="0.35">
      <c r="B944" s="16">
        <v>919000</v>
      </c>
      <c r="C944" s="16" t="s">
        <v>124</v>
      </c>
      <c r="D944" s="16" t="s">
        <v>30</v>
      </c>
      <c r="E944" s="16"/>
      <c r="F944" s="16" t="s">
        <v>14</v>
      </c>
      <c r="G944" s="17" t="str">
        <f t="shared" si="21"/>
        <v xml:space="preserve"> neuf cent dix neuf mille</v>
      </c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spans="2:20" x14ac:dyDescent="0.35">
      <c r="B945" s="16">
        <v>920000</v>
      </c>
      <c r="C945" s="16" t="s">
        <v>124</v>
      </c>
      <c r="D945" s="16" t="s">
        <v>10</v>
      </c>
      <c r="E945" s="16"/>
      <c r="F945" s="16" t="s">
        <v>14</v>
      </c>
      <c r="G945" s="17" t="str">
        <f t="shared" si="21"/>
        <v xml:space="preserve"> neuf cent vingt mille</v>
      </c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spans="2:20" x14ac:dyDescent="0.35">
      <c r="B946" s="16">
        <v>921000</v>
      </c>
      <c r="C946" s="16" t="s">
        <v>124</v>
      </c>
      <c r="D946" s="16" t="s">
        <v>115</v>
      </c>
      <c r="E946" s="16" t="s">
        <v>32</v>
      </c>
      <c r="F946" s="16" t="s">
        <v>14</v>
      </c>
      <c r="G946" s="17" t="str">
        <f t="shared" si="21"/>
        <v xml:space="preserve"> neuf cent vingt  et un mille</v>
      </c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spans="2:20" x14ac:dyDescent="0.35">
      <c r="B947" s="16">
        <v>922000</v>
      </c>
      <c r="C947" s="16" t="s">
        <v>124</v>
      </c>
      <c r="D947" s="16" t="s">
        <v>10</v>
      </c>
      <c r="E947" s="16" t="s">
        <v>16</v>
      </c>
      <c r="F947" s="16" t="s">
        <v>14</v>
      </c>
      <c r="G947" s="17" t="str">
        <f t="shared" si="21"/>
        <v xml:space="preserve"> neuf cent vingt deux mille</v>
      </c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spans="2:20" x14ac:dyDescent="0.35">
      <c r="B948" s="16">
        <v>923000</v>
      </c>
      <c r="C948" s="16" t="s">
        <v>124</v>
      </c>
      <c r="D948" s="16" t="s">
        <v>10</v>
      </c>
      <c r="E948" s="16" t="s">
        <v>20</v>
      </c>
      <c r="F948" s="16" t="s">
        <v>14</v>
      </c>
      <c r="G948" s="17" t="str">
        <f t="shared" si="21"/>
        <v xml:space="preserve"> neuf cent vingt trois mille</v>
      </c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spans="2:20" x14ac:dyDescent="0.35">
      <c r="B949" s="16">
        <v>924000</v>
      </c>
      <c r="C949" s="16" t="s">
        <v>124</v>
      </c>
      <c r="D949" s="16" t="s">
        <v>10</v>
      </c>
      <c r="E949" s="16" t="s">
        <v>24</v>
      </c>
      <c r="F949" s="16" t="s">
        <v>14</v>
      </c>
      <c r="G949" s="17" t="str">
        <f t="shared" si="21"/>
        <v xml:space="preserve"> neuf cent vingt quatre mille</v>
      </c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spans="2:20" x14ac:dyDescent="0.35">
      <c r="B950" s="16">
        <v>925000</v>
      </c>
      <c r="C950" s="16" t="s">
        <v>124</v>
      </c>
      <c r="D950" s="16" t="s">
        <v>10</v>
      </c>
      <c r="E950" s="16" t="s">
        <v>11</v>
      </c>
      <c r="F950" s="16" t="s">
        <v>14</v>
      </c>
      <c r="G950" s="17" t="str">
        <f t="shared" si="21"/>
        <v xml:space="preserve"> neuf cent vingt cinq mille</v>
      </c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spans="2:20" x14ac:dyDescent="0.35">
      <c r="B951" s="16">
        <v>926000</v>
      </c>
      <c r="C951" s="16" t="s">
        <v>124</v>
      </c>
      <c r="D951" s="16" t="s">
        <v>10</v>
      </c>
      <c r="E951" s="16" t="s">
        <v>116</v>
      </c>
      <c r="F951" s="16" t="s">
        <v>14</v>
      </c>
      <c r="G951" s="17" t="str">
        <f t="shared" si="21"/>
        <v xml:space="preserve"> neuf cent vingt six mille</v>
      </c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spans="2:20" x14ac:dyDescent="0.35">
      <c r="B952" s="16">
        <v>927000</v>
      </c>
      <c r="C952" s="16" t="s">
        <v>124</v>
      </c>
      <c r="D952" s="16" t="s">
        <v>10</v>
      </c>
      <c r="E952" s="16" t="s">
        <v>21</v>
      </c>
      <c r="F952" s="16" t="s">
        <v>14</v>
      </c>
      <c r="G952" s="17" t="str">
        <f t="shared" si="21"/>
        <v xml:space="preserve"> neuf cent vingt sept mille</v>
      </c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spans="2:20" x14ac:dyDescent="0.35">
      <c r="B953" s="16">
        <v>928000</v>
      </c>
      <c r="C953" s="16" t="s">
        <v>124</v>
      </c>
      <c r="D953" s="16" t="s">
        <v>10</v>
      </c>
      <c r="E953" s="16" t="s">
        <v>25</v>
      </c>
      <c r="F953" s="16" t="s">
        <v>14</v>
      </c>
      <c r="G953" s="17" t="str">
        <f t="shared" si="21"/>
        <v xml:space="preserve"> neuf cent vingt huit mille</v>
      </c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spans="2:20" x14ac:dyDescent="0.35">
      <c r="B954" s="16">
        <v>929000</v>
      </c>
      <c r="C954" s="16" t="s">
        <v>124</v>
      </c>
      <c r="D954" s="16" t="s">
        <v>10</v>
      </c>
      <c r="E954" s="16" t="s">
        <v>28</v>
      </c>
      <c r="F954" s="16" t="s">
        <v>14</v>
      </c>
      <c r="G954" s="17" t="str">
        <f t="shared" si="21"/>
        <v xml:space="preserve"> neuf cent vingt neuf mille</v>
      </c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spans="2:20" x14ac:dyDescent="0.35">
      <c r="B955" s="16">
        <v>930000</v>
      </c>
      <c r="C955" s="16" t="s">
        <v>124</v>
      </c>
      <c r="D955" s="16" t="s">
        <v>31</v>
      </c>
      <c r="E955" s="16"/>
      <c r="F955" s="16" t="s">
        <v>14</v>
      </c>
      <c r="G955" s="17" t="str">
        <f t="shared" si="21"/>
        <v xml:space="preserve"> neuf cent trente mille</v>
      </c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spans="2:20" x14ac:dyDescent="0.35">
      <c r="B956" s="16">
        <v>931000</v>
      </c>
      <c r="C956" s="16" t="s">
        <v>124</v>
      </c>
      <c r="D956" s="16" t="s">
        <v>31</v>
      </c>
      <c r="E956" s="16" t="s">
        <v>32</v>
      </c>
      <c r="F956" s="16" t="s">
        <v>14</v>
      </c>
      <c r="G956" s="17" t="str">
        <f t="shared" si="21"/>
        <v xml:space="preserve"> neuf cent trente et un mille</v>
      </c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spans="2:20" x14ac:dyDescent="0.35">
      <c r="B957" s="16">
        <v>932000</v>
      </c>
      <c r="C957" s="16" t="s">
        <v>124</v>
      </c>
      <c r="D957" s="16" t="s">
        <v>31</v>
      </c>
      <c r="E957" s="16" t="s">
        <v>16</v>
      </c>
      <c r="F957" s="16" t="s">
        <v>14</v>
      </c>
      <c r="G957" s="17" t="str">
        <f t="shared" si="21"/>
        <v xml:space="preserve"> neuf cent trente deux mille</v>
      </c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spans="2:20" x14ac:dyDescent="0.35">
      <c r="B958" s="16">
        <v>933000</v>
      </c>
      <c r="C958" s="16" t="s">
        <v>124</v>
      </c>
      <c r="D958" s="16" t="s">
        <v>31</v>
      </c>
      <c r="E958" s="16" t="s">
        <v>20</v>
      </c>
      <c r="F958" s="16" t="s">
        <v>14</v>
      </c>
      <c r="G958" s="17" t="str">
        <f t="shared" si="21"/>
        <v xml:space="preserve"> neuf cent trente trois mille</v>
      </c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spans="2:20" x14ac:dyDescent="0.35">
      <c r="B959" s="16">
        <v>934000</v>
      </c>
      <c r="C959" s="16" t="s">
        <v>124</v>
      </c>
      <c r="D959" s="16" t="s">
        <v>31</v>
      </c>
      <c r="E959" s="16" t="s">
        <v>24</v>
      </c>
      <c r="F959" s="16" t="s">
        <v>14</v>
      </c>
      <c r="G959" s="17" t="str">
        <f t="shared" ref="G959:G1022" si="22">CONCATENATE(C959,D959,E959,F959)</f>
        <v xml:space="preserve"> neuf cent trente quatre mille</v>
      </c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spans="2:20" x14ac:dyDescent="0.35">
      <c r="B960" s="16">
        <v>935000</v>
      </c>
      <c r="C960" s="16" t="s">
        <v>124</v>
      </c>
      <c r="D960" s="16" t="s">
        <v>31</v>
      </c>
      <c r="E960" s="16" t="s">
        <v>11</v>
      </c>
      <c r="F960" s="16" t="s">
        <v>14</v>
      </c>
      <c r="G960" s="17" t="str">
        <f t="shared" si="22"/>
        <v xml:space="preserve"> neuf cent trente cinq mille</v>
      </c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spans="2:20" x14ac:dyDescent="0.35">
      <c r="B961" s="16">
        <v>936000</v>
      </c>
      <c r="C961" s="16" t="s">
        <v>124</v>
      </c>
      <c r="D961" s="16" t="s">
        <v>31</v>
      </c>
      <c r="E961" s="16" t="s">
        <v>116</v>
      </c>
      <c r="F961" s="16" t="s">
        <v>14</v>
      </c>
      <c r="G961" s="17" t="str">
        <f t="shared" si="22"/>
        <v xml:space="preserve"> neuf cent trente six mille</v>
      </c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spans="2:20" x14ac:dyDescent="0.35">
      <c r="B962" s="16">
        <v>937000</v>
      </c>
      <c r="C962" s="16" t="s">
        <v>124</v>
      </c>
      <c r="D962" s="16" t="s">
        <v>31</v>
      </c>
      <c r="E962" s="16" t="s">
        <v>21</v>
      </c>
      <c r="F962" s="16" t="s">
        <v>14</v>
      </c>
      <c r="G962" s="17" t="str">
        <f t="shared" si="22"/>
        <v xml:space="preserve"> neuf cent trente sept mille</v>
      </c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spans="2:20" x14ac:dyDescent="0.35">
      <c r="B963" s="16">
        <v>938000</v>
      </c>
      <c r="C963" s="16" t="s">
        <v>124</v>
      </c>
      <c r="D963" s="16" t="s">
        <v>31</v>
      </c>
      <c r="E963" s="16" t="s">
        <v>25</v>
      </c>
      <c r="F963" s="16" t="s">
        <v>14</v>
      </c>
      <c r="G963" s="17" t="str">
        <f t="shared" si="22"/>
        <v xml:space="preserve"> neuf cent trente huit mille</v>
      </c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 spans="2:20" x14ac:dyDescent="0.35">
      <c r="B964" s="16">
        <v>939000</v>
      </c>
      <c r="C964" s="16" t="s">
        <v>124</v>
      </c>
      <c r="D964" s="16" t="s">
        <v>31</v>
      </c>
      <c r="E964" s="16" t="s">
        <v>28</v>
      </c>
      <c r="F964" s="16" t="s">
        <v>14</v>
      </c>
      <c r="G964" s="17" t="str">
        <f t="shared" si="22"/>
        <v xml:space="preserve"> neuf cent trente neuf mille</v>
      </c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 spans="2:20" x14ac:dyDescent="0.35">
      <c r="B965" s="16">
        <v>940000</v>
      </c>
      <c r="C965" s="16" t="s">
        <v>124</v>
      </c>
      <c r="D965" s="16" t="s">
        <v>51</v>
      </c>
      <c r="E965" s="16"/>
      <c r="F965" s="16" t="s">
        <v>14</v>
      </c>
      <c r="G965" s="17" t="str">
        <f t="shared" si="22"/>
        <v xml:space="preserve"> neuf cent quarante mille</v>
      </c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 spans="2:20" x14ac:dyDescent="0.35">
      <c r="B966" s="16">
        <v>941000</v>
      </c>
      <c r="C966" s="16" t="s">
        <v>124</v>
      </c>
      <c r="D966" s="16" t="s">
        <v>51</v>
      </c>
      <c r="E966" s="16" t="s">
        <v>32</v>
      </c>
      <c r="F966" s="16" t="s">
        <v>14</v>
      </c>
      <c r="G966" s="17" t="str">
        <f t="shared" si="22"/>
        <v xml:space="preserve"> neuf cent quarante et un mille</v>
      </c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 spans="2:20" x14ac:dyDescent="0.35">
      <c r="B967" s="16">
        <v>942000</v>
      </c>
      <c r="C967" s="16" t="s">
        <v>124</v>
      </c>
      <c r="D967" s="16" t="s">
        <v>51</v>
      </c>
      <c r="E967" s="16" t="s">
        <v>16</v>
      </c>
      <c r="F967" s="16" t="s">
        <v>14</v>
      </c>
      <c r="G967" s="17" t="str">
        <f t="shared" si="22"/>
        <v xml:space="preserve"> neuf cent quarante deux mille</v>
      </c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 spans="2:20" x14ac:dyDescent="0.35">
      <c r="B968" s="16">
        <v>943000</v>
      </c>
      <c r="C968" s="16" t="s">
        <v>124</v>
      </c>
      <c r="D968" s="16" t="s">
        <v>51</v>
      </c>
      <c r="E968" s="16" t="s">
        <v>20</v>
      </c>
      <c r="F968" s="16" t="s">
        <v>14</v>
      </c>
      <c r="G968" s="17" t="str">
        <f t="shared" si="22"/>
        <v xml:space="preserve"> neuf cent quarante trois mille</v>
      </c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 spans="2:20" x14ac:dyDescent="0.35">
      <c r="B969" s="16">
        <v>944000</v>
      </c>
      <c r="C969" s="16" t="s">
        <v>124</v>
      </c>
      <c r="D969" s="16" t="s">
        <v>51</v>
      </c>
      <c r="E969" s="16" t="s">
        <v>24</v>
      </c>
      <c r="F969" s="16" t="s">
        <v>14</v>
      </c>
      <c r="G969" s="17" t="str">
        <f t="shared" si="22"/>
        <v xml:space="preserve"> neuf cent quarante quatre mille</v>
      </c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 spans="2:20" x14ac:dyDescent="0.35">
      <c r="B970" s="16">
        <v>945000</v>
      </c>
      <c r="C970" s="16" t="s">
        <v>124</v>
      </c>
      <c r="D970" s="16" t="s">
        <v>51</v>
      </c>
      <c r="E970" s="16" t="s">
        <v>11</v>
      </c>
      <c r="F970" s="16" t="s">
        <v>14</v>
      </c>
      <c r="G970" s="17" t="str">
        <f t="shared" si="22"/>
        <v xml:space="preserve"> neuf cent quarante cinq mille</v>
      </c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 spans="2:20" x14ac:dyDescent="0.35">
      <c r="B971" s="16">
        <v>946000</v>
      </c>
      <c r="C971" s="16" t="s">
        <v>124</v>
      </c>
      <c r="D971" s="16" t="s">
        <v>51</v>
      </c>
      <c r="E971" s="16" t="s">
        <v>116</v>
      </c>
      <c r="F971" s="16" t="s">
        <v>14</v>
      </c>
      <c r="G971" s="17" t="str">
        <f t="shared" si="22"/>
        <v xml:space="preserve"> neuf cent quarante six mille</v>
      </c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 spans="2:20" x14ac:dyDescent="0.35">
      <c r="B972" s="16">
        <v>947000</v>
      </c>
      <c r="C972" s="16" t="s">
        <v>124</v>
      </c>
      <c r="D972" s="16" t="s">
        <v>51</v>
      </c>
      <c r="E972" s="16" t="s">
        <v>21</v>
      </c>
      <c r="F972" s="16" t="s">
        <v>14</v>
      </c>
      <c r="G972" s="17" t="str">
        <f t="shared" si="22"/>
        <v xml:space="preserve"> neuf cent quarante sept mille</v>
      </c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 spans="2:20" x14ac:dyDescent="0.35">
      <c r="B973" s="16">
        <v>948000</v>
      </c>
      <c r="C973" s="16" t="s">
        <v>124</v>
      </c>
      <c r="D973" s="16" t="s">
        <v>51</v>
      </c>
      <c r="E973" s="16" t="s">
        <v>25</v>
      </c>
      <c r="F973" s="16" t="s">
        <v>14</v>
      </c>
      <c r="G973" s="17" t="str">
        <f t="shared" si="22"/>
        <v xml:space="preserve"> neuf cent quarante huit mille</v>
      </c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 spans="2:20" x14ac:dyDescent="0.35">
      <c r="B974" s="16">
        <v>949000</v>
      </c>
      <c r="C974" s="16" t="s">
        <v>124</v>
      </c>
      <c r="D974" s="16" t="s">
        <v>51</v>
      </c>
      <c r="E974" s="16" t="s">
        <v>28</v>
      </c>
      <c r="F974" s="16" t="s">
        <v>14</v>
      </c>
      <c r="G974" s="17" t="str">
        <f t="shared" si="22"/>
        <v xml:space="preserve"> neuf cent quarante neuf mille</v>
      </c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 spans="2:20" x14ac:dyDescent="0.35">
      <c r="B975" s="16">
        <v>950000</v>
      </c>
      <c r="C975" s="16" t="s">
        <v>124</v>
      </c>
      <c r="D975" s="16" t="s">
        <v>61</v>
      </c>
      <c r="E975" s="16"/>
      <c r="F975" s="16" t="s">
        <v>14</v>
      </c>
      <c r="G975" s="17" t="str">
        <f t="shared" si="22"/>
        <v xml:space="preserve"> neuf cent cinquante mille</v>
      </c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 spans="2:20" x14ac:dyDescent="0.35">
      <c r="B976" s="16">
        <v>951000</v>
      </c>
      <c r="C976" s="16" t="s">
        <v>124</v>
      </c>
      <c r="D976" s="16" t="s">
        <v>61</v>
      </c>
      <c r="E976" s="16" t="s">
        <v>32</v>
      </c>
      <c r="F976" s="16" t="s">
        <v>14</v>
      </c>
      <c r="G976" s="17" t="str">
        <f t="shared" si="22"/>
        <v xml:space="preserve"> neuf cent cinquante et un mille</v>
      </c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 spans="2:20" x14ac:dyDescent="0.35">
      <c r="B977" s="16">
        <v>952000</v>
      </c>
      <c r="C977" s="16" t="s">
        <v>124</v>
      </c>
      <c r="D977" s="16" t="s">
        <v>61</v>
      </c>
      <c r="E977" s="16" t="s">
        <v>16</v>
      </c>
      <c r="F977" s="16" t="s">
        <v>14</v>
      </c>
      <c r="G977" s="17" t="str">
        <f t="shared" si="22"/>
        <v xml:space="preserve"> neuf cent cinquante deux mille</v>
      </c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 spans="2:20" x14ac:dyDescent="0.35">
      <c r="B978" s="16">
        <v>953000</v>
      </c>
      <c r="C978" s="16" t="s">
        <v>124</v>
      </c>
      <c r="D978" s="16" t="s">
        <v>61</v>
      </c>
      <c r="E978" s="16" t="s">
        <v>20</v>
      </c>
      <c r="F978" s="16" t="s">
        <v>14</v>
      </c>
      <c r="G978" s="17" t="str">
        <f t="shared" si="22"/>
        <v xml:space="preserve"> neuf cent cinquante trois mille</v>
      </c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 spans="2:20" x14ac:dyDescent="0.35">
      <c r="B979" s="16">
        <v>954000</v>
      </c>
      <c r="C979" s="16" t="s">
        <v>124</v>
      </c>
      <c r="D979" s="16" t="s">
        <v>61</v>
      </c>
      <c r="E979" s="16" t="s">
        <v>24</v>
      </c>
      <c r="F979" s="16" t="s">
        <v>14</v>
      </c>
      <c r="G979" s="17" t="str">
        <f t="shared" si="22"/>
        <v xml:space="preserve"> neuf cent cinquante quatre mille</v>
      </c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 spans="2:20" x14ac:dyDescent="0.35">
      <c r="B980" s="16">
        <v>955000</v>
      </c>
      <c r="C980" s="16" t="s">
        <v>124</v>
      </c>
      <c r="D980" s="16" t="s">
        <v>61</v>
      </c>
      <c r="E980" s="16" t="s">
        <v>11</v>
      </c>
      <c r="F980" s="16" t="s">
        <v>14</v>
      </c>
      <c r="G980" s="17" t="str">
        <f t="shared" si="22"/>
        <v xml:space="preserve"> neuf cent cinquante cinq mille</v>
      </c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 spans="2:20" x14ac:dyDescent="0.35">
      <c r="B981" s="16">
        <v>956000</v>
      </c>
      <c r="C981" s="16" t="s">
        <v>124</v>
      </c>
      <c r="D981" s="16" t="s">
        <v>61</v>
      </c>
      <c r="E981" s="16" t="s">
        <v>116</v>
      </c>
      <c r="F981" s="16" t="s">
        <v>14</v>
      </c>
      <c r="G981" s="17" t="str">
        <f t="shared" si="22"/>
        <v xml:space="preserve"> neuf cent cinquante six mille</v>
      </c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 spans="2:20" x14ac:dyDescent="0.35">
      <c r="B982" s="16">
        <v>957000</v>
      </c>
      <c r="C982" s="16" t="s">
        <v>124</v>
      </c>
      <c r="D982" s="16" t="s">
        <v>61</v>
      </c>
      <c r="E982" s="16" t="s">
        <v>21</v>
      </c>
      <c r="F982" s="16" t="s">
        <v>14</v>
      </c>
      <c r="G982" s="17" t="str">
        <f t="shared" si="22"/>
        <v xml:space="preserve"> neuf cent cinquante sept mille</v>
      </c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 spans="2:20" x14ac:dyDescent="0.35">
      <c r="B983" s="16">
        <v>958000</v>
      </c>
      <c r="C983" s="16" t="s">
        <v>124</v>
      </c>
      <c r="D983" s="16" t="s">
        <v>61</v>
      </c>
      <c r="E983" s="16" t="s">
        <v>25</v>
      </c>
      <c r="F983" s="16" t="s">
        <v>14</v>
      </c>
      <c r="G983" s="17" t="str">
        <f t="shared" si="22"/>
        <v xml:space="preserve"> neuf cent cinquante huit mille</v>
      </c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 spans="2:20" x14ac:dyDescent="0.35">
      <c r="B984" s="16">
        <v>959000</v>
      </c>
      <c r="C984" s="16" t="s">
        <v>124</v>
      </c>
      <c r="D984" s="16" t="s">
        <v>61</v>
      </c>
      <c r="E984" s="16" t="s">
        <v>28</v>
      </c>
      <c r="F984" s="16" t="s">
        <v>14</v>
      </c>
      <c r="G984" s="17" t="str">
        <f t="shared" si="22"/>
        <v xml:space="preserve"> neuf cent cinquante neuf mille</v>
      </c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 spans="2:20" x14ac:dyDescent="0.35">
      <c r="B985" s="16">
        <v>960000</v>
      </c>
      <c r="C985" s="16" t="s">
        <v>124</v>
      </c>
      <c r="D985" s="16" t="s">
        <v>71</v>
      </c>
      <c r="E985" s="16"/>
      <c r="F985" s="16" t="s">
        <v>14</v>
      </c>
      <c r="G985" s="17" t="str">
        <f t="shared" si="22"/>
        <v xml:space="preserve"> neuf cent soixante mille</v>
      </c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 spans="2:20" x14ac:dyDescent="0.35">
      <c r="B986" s="16">
        <v>961000</v>
      </c>
      <c r="C986" s="16" t="s">
        <v>124</v>
      </c>
      <c r="D986" s="16" t="s">
        <v>71</v>
      </c>
      <c r="E986" s="16" t="s">
        <v>32</v>
      </c>
      <c r="F986" s="16" t="s">
        <v>14</v>
      </c>
      <c r="G986" s="17" t="str">
        <f t="shared" si="22"/>
        <v xml:space="preserve"> neuf cent soixante et un mille</v>
      </c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 spans="2:20" x14ac:dyDescent="0.35">
      <c r="B987" s="16">
        <v>962000</v>
      </c>
      <c r="C987" s="16" t="s">
        <v>124</v>
      </c>
      <c r="D987" s="16" t="s">
        <v>71</v>
      </c>
      <c r="E987" s="16" t="s">
        <v>16</v>
      </c>
      <c r="F987" s="16" t="s">
        <v>14</v>
      </c>
      <c r="G987" s="17" t="str">
        <f t="shared" si="22"/>
        <v xml:space="preserve"> neuf cent soixante deux mille</v>
      </c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 spans="2:20" x14ac:dyDescent="0.35">
      <c r="B988" s="16">
        <v>963000</v>
      </c>
      <c r="C988" s="16" t="s">
        <v>124</v>
      </c>
      <c r="D988" s="16" t="s">
        <v>71</v>
      </c>
      <c r="E988" s="16" t="s">
        <v>20</v>
      </c>
      <c r="F988" s="16" t="s">
        <v>14</v>
      </c>
      <c r="G988" s="17" t="str">
        <f t="shared" si="22"/>
        <v xml:space="preserve"> neuf cent soixante trois mille</v>
      </c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 spans="2:20" x14ac:dyDescent="0.35">
      <c r="B989" s="16">
        <v>964000</v>
      </c>
      <c r="C989" s="16" t="s">
        <v>124</v>
      </c>
      <c r="D989" s="16" t="s">
        <v>71</v>
      </c>
      <c r="E989" s="16" t="s">
        <v>24</v>
      </c>
      <c r="F989" s="16" t="s">
        <v>14</v>
      </c>
      <c r="G989" s="17" t="str">
        <f t="shared" si="22"/>
        <v xml:space="preserve"> neuf cent soixante quatre mille</v>
      </c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 spans="2:20" x14ac:dyDescent="0.35">
      <c r="B990" s="16">
        <v>965000</v>
      </c>
      <c r="C990" s="16" t="s">
        <v>124</v>
      </c>
      <c r="D990" s="16" t="s">
        <v>71</v>
      </c>
      <c r="E990" s="16" t="s">
        <v>11</v>
      </c>
      <c r="F990" s="16" t="s">
        <v>14</v>
      </c>
      <c r="G990" s="17" t="str">
        <f t="shared" si="22"/>
        <v xml:space="preserve"> neuf cent soixante cinq mille</v>
      </c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 spans="2:20" x14ac:dyDescent="0.35">
      <c r="B991" s="16">
        <v>966000</v>
      </c>
      <c r="C991" s="16" t="s">
        <v>124</v>
      </c>
      <c r="D991" s="16" t="s">
        <v>71</v>
      </c>
      <c r="E991" s="16" t="s">
        <v>116</v>
      </c>
      <c r="F991" s="16" t="s">
        <v>14</v>
      </c>
      <c r="G991" s="17" t="str">
        <f t="shared" si="22"/>
        <v xml:space="preserve"> neuf cent soixante six mille</v>
      </c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 spans="2:20" x14ac:dyDescent="0.35">
      <c r="B992" s="16">
        <v>967000</v>
      </c>
      <c r="C992" s="16" t="s">
        <v>124</v>
      </c>
      <c r="D992" s="16" t="s">
        <v>71</v>
      </c>
      <c r="E992" s="16" t="s">
        <v>21</v>
      </c>
      <c r="F992" s="16" t="s">
        <v>14</v>
      </c>
      <c r="G992" s="17" t="str">
        <f t="shared" si="22"/>
        <v xml:space="preserve"> neuf cent soixante sept mille</v>
      </c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 spans="2:20" x14ac:dyDescent="0.35">
      <c r="B993" s="16">
        <v>968000</v>
      </c>
      <c r="C993" s="16" t="s">
        <v>124</v>
      </c>
      <c r="D993" s="16" t="s">
        <v>71</v>
      </c>
      <c r="E993" s="16" t="s">
        <v>25</v>
      </c>
      <c r="F993" s="16" t="s">
        <v>14</v>
      </c>
      <c r="G993" s="17" t="str">
        <f t="shared" si="22"/>
        <v xml:space="preserve"> neuf cent soixante huit mille</v>
      </c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 spans="2:20" x14ac:dyDescent="0.35">
      <c r="B994" s="16">
        <v>969000</v>
      </c>
      <c r="C994" s="16" t="s">
        <v>124</v>
      </c>
      <c r="D994" s="16" t="s">
        <v>71</v>
      </c>
      <c r="E994" s="16" t="s">
        <v>28</v>
      </c>
      <c r="F994" s="16" t="s">
        <v>14</v>
      </c>
      <c r="G994" s="17" t="str">
        <f t="shared" si="22"/>
        <v xml:space="preserve"> neuf cent soixante neuf mille</v>
      </c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 spans="2:20" x14ac:dyDescent="0.35">
      <c r="B995" s="16">
        <v>970000</v>
      </c>
      <c r="C995" s="16" t="s">
        <v>124</v>
      </c>
      <c r="D995" s="16" t="s">
        <v>71</v>
      </c>
      <c r="E995" s="16" t="s">
        <v>39</v>
      </c>
      <c r="F995" s="16" t="s">
        <v>14</v>
      </c>
      <c r="G995" s="17" t="str">
        <f t="shared" si="22"/>
        <v xml:space="preserve"> neuf cent soixante dix mille</v>
      </c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 spans="2:20" x14ac:dyDescent="0.35">
      <c r="B996" s="16">
        <v>971000</v>
      </c>
      <c r="C996" s="16" t="s">
        <v>124</v>
      </c>
      <c r="D996" s="16" t="s">
        <v>71</v>
      </c>
      <c r="E996" s="16" t="s">
        <v>82</v>
      </c>
      <c r="F996" s="16" t="s">
        <v>14</v>
      </c>
      <c r="G996" s="17" t="str">
        <f t="shared" si="22"/>
        <v xml:space="preserve"> neuf cent soixante et onze mille</v>
      </c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 spans="2:20" x14ac:dyDescent="0.35">
      <c r="B997" s="16">
        <v>972000</v>
      </c>
      <c r="C997" s="16" t="s">
        <v>124</v>
      </c>
      <c r="D997" s="16" t="s">
        <v>71</v>
      </c>
      <c r="E997" s="16" t="s">
        <v>44</v>
      </c>
      <c r="F997" s="16" t="s">
        <v>14</v>
      </c>
      <c r="G997" s="17" t="str">
        <f t="shared" si="22"/>
        <v xml:space="preserve"> neuf cent soixante douze mille</v>
      </c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 spans="2:20" x14ac:dyDescent="0.35">
      <c r="B998" s="16">
        <v>973000</v>
      </c>
      <c r="C998" s="16" t="s">
        <v>124</v>
      </c>
      <c r="D998" s="16" t="s">
        <v>71</v>
      </c>
      <c r="E998" s="16" t="s">
        <v>46</v>
      </c>
      <c r="F998" s="16" t="s">
        <v>14</v>
      </c>
      <c r="G998" s="17" t="str">
        <f t="shared" si="22"/>
        <v xml:space="preserve"> neuf cent soixante treize mille</v>
      </c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  <row r="999" spans="2:20" x14ac:dyDescent="0.35">
      <c r="B999" s="16">
        <v>974000</v>
      </c>
      <c r="C999" s="16" t="s">
        <v>124</v>
      </c>
      <c r="D999" s="16" t="s">
        <v>71</v>
      </c>
      <c r="E999" s="16" t="s">
        <v>48</v>
      </c>
      <c r="F999" s="16" t="s">
        <v>14</v>
      </c>
      <c r="G999" s="17" t="str">
        <f t="shared" si="22"/>
        <v xml:space="preserve"> neuf cent soixante quatorze mille</v>
      </c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</row>
    <row r="1000" spans="2:20" x14ac:dyDescent="0.35">
      <c r="B1000" s="16">
        <v>975000</v>
      </c>
      <c r="C1000" s="16" t="s">
        <v>124</v>
      </c>
      <c r="D1000" s="16" t="s">
        <v>71</v>
      </c>
      <c r="E1000" s="16" t="s">
        <v>13</v>
      </c>
      <c r="F1000" s="16" t="s">
        <v>14</v>
      </c>
      <c r="G1000" s="17" t="str">
        <f t="shared" si="22"/>
        <v xml:space="preserve"> neuf cent soixante quinze mille</v>
      </c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</row>
    <row r="1001" spans="2:20" x14ac:dyDescent="0.35">
      <c r="B1001" s="16">
        <v>976000</v>
      </c>
      <c r="C1001" s="16" t="s">
        <v>124</v>
      </c>
      <c r="D1001" s="16" t="s">
        <v>71</v>
      </c>
      <c r="E1001" s="16" t="s">
        <v>19</v>
      </c>
      <c r="F1001" s="16" t="s">
        <v>14</v>
      </c>
      <c r="G1001" s="17" t="str">
        <f t="shared" si="22"/>
        <v xml:space="preserve"> neuf cent soixante seize mille</v>
      </c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</row>
    <row r="1002" spans="2:20" x14ac:dyDescent="0.35">
      <c r="B1002" s="16">
        <v>977000</v>
      </c>
      <c r="C1002" s="16" t="s">
        <v>124</v>
      </c>
      <c r="D1002" s="16" t="s">
        <v>71</v>
      </c>
      <c r="E1002" s="16" t="s">
        <v>23</v>
      </c>
      <c r="F1002" s="16" t="s">
        <v>14</v>
      </c>
      <c r="G1002" s="17" t="str">
        <f t="shared" si="22"/>
        <v xml:space="preserve"> neuf cent soixante dix sept mille</v>
      </c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</row>
    <row r="1003" spans="2:20" x14ac:dyDescent="0.35">
      <c r="B1003" s="16">
        <v>978000</v>
      </c>
      <c r="C1003" s="16" t="s">
        <v>124</v>
      </c>
      <c r="D1003" s="16" t="s">
        <v>71</v>
      </c>
      <c r="E1003" s="16" t="s">
        <v>27</v>
      </c>
      <c r="F1003" s="16" t="s">
        <v>14</v>
      </c>
      <c r="G1003" s="17" t="str">
        <f t="shared" si="22"/>
        <v xml:space="preserve"> neuf cent soixante dix huit mille</v>
      </c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</row>
    <row r="1004" spans="2:20" x14ac:dyDescent="0.35">
      <c r="B1004" s="16">
        <v>979000</v>
      </c>
      <c r="C1004" s="16" t="s">
        <v>124</v>
      </c>
      <c r="D1004" s="16" t="s">
        <v>71</v>
      </c>
      <c r="E1004" s="16" t="s">
        <v>30</v>
      </c>
      <c r="F1004" s="16" t="s">
        <v>14</v>
      </c>
      <c r="G1004" s="17" t="str">
        <f t="shared" si="22"/>
        <v xml:space="preserve"> neuf cent soixante dix neuf mille</v>
      </c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</row>
    <row r="1005" spans="2:20" x14ac:dyDescent="0.35">
      <c r="B1005" s="16">
        <v>980000</v>
      </c>
      <c r="C1005" s="16" t="s">
        <v>124</v>
      </c>
      <c r="D1005" s="16" t="s">
        <v>92</v>
      </c>
      <c r="E1005" s="16"/>
      <c r="F1005" s="16" t="s">
        <v>14</v>
      </c>
      <c r="G1005" s="17" t="str">
        <f t="shared" si="22"/>
        <v xml:space="preserve"> neuf cent quatre vingt mille</v>
      </c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</row>
    <row r="1006" spans="2:20" x14ac:dyDescent="0.35">
      <c r="B1006" s="16">
        <v>981000</v>
      </c>
      <c r="C1006" s="16" t="s">
        <v>124</v>
      </c>
      <c r="D1006" s="16" t="s">
        <v>92</v>
      </c>
      <c r="E1006" s="16" t="s">
        <v>32</v>
      </c>
      <c r="F1006" s="16" t="s">
        <v>14</v>
      </c>
      <c r="G1006" s="17" t="str">
        <f t="shared" si="22"/>
        <v xml:space="preserve"> neuf cent quatre vingt et un mille</v>
      </c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</row>
    <row r="1007" spans="2:20" x14ac:dyDescent="0.35">
      <c r="B1007" s="16">
        <v>982000</v>
      </c>
      <c r="C1007" s="16" t="s">
        <v>124</v>
      </c>
      <c r="D1007" s="16" t="s">
        <v>92</v>
      </c>
      <c r="E1007" s="16" t="s">
        <v>16</v>
      </c>
      <c r="F1007" s="16" t="s">
        <v>14</v>
      </c>
      <c r="G1007" s="17" t="str">
        <f t="shared" si="22"/>
        <v xml:space="preserve"> neuf cent quatre vingt deux mille</v>
      </c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</row>
    <row r="1008" spans="2:20" x14ac:dyDescent="0.35">
      <c r="B1008" s="16">
        <v>983000</v>
      </c>
      <c r="C1008" s="16" t="s">
        <v>124</v>
      </c>
      <c r="D1008" s="16" t="s">
        <v>92</v>
      </c>
      <c r="E1008" s="16" t="s">
        <v>20</v>
      </c>
      <c r="F1008" s="16" t="s">
        <v>14</v>
      </c>
      <c r="G1008" s="17" t="str">
        <f t="shared" si="22"/>
        <v xml:space="preserve"> neuf cent quatre vingt trois mille</v>
      </c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</row>
    <row r="1009" spans="2:20" x14ac:dyDescent="0.35">
      <c r="B1009" s="16">
        <v>984000</v>
      </c>
      <c r="C1009" s="16" t="s">
        <v>124</v>
      </c>
      <c r="D1009" s="16" t="s">
        <v>92</v>
      </c>
      <c r="E1009" s="16" t="s">
        <v>24</v>
      </c>
      <c r="F1009" s="16" t="s">
        <v>14</v>
      </c>
      <c r="G1009" s="17" t="str">
        <f t="shared" si="22"/>
        <v xml:space="preserve"> neuf cent quatre vingt quatre mille</v>
      </c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</row>
    <row r="1010" spans="2:20" x14ac:dyDescent="0.35">
      <c r="B1010" s="16">
        <v>985000</v>
      </c>
      <c r="C1010" s="16" t="s">
        <v>124</v>
      </c>
      <c r="D1010" s="16" t="s">
        <v>92</v>
      </c>
      <c r="E1010" s="16" t="s">
        <v>11</v>
      </c>
      <c r="F1010" s="16" t="s">
        <v>14</v>
      </c>
      <c r="G1010" s="17" t="str">
        <f t="shared" si="22"/>
        <v xml:space="preserve"> neuf cent quatre vingt cinq mille</v>
      </c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</row>
    <row r="1011" spans="2:20" x14ac:dyDescent="0.35">
      <c r="B1011" s="16">
        <v>986000</v>
      </c>
      <c r="C1011" s="16" t="s">
        <v>124</v>
      </c>
      <c r="D1011" s="16" t="s">
        <v>92</v>
      </c>
      <c r="E1011" s="16" t="s">
        <v>116</v>
      </c>
      <c r="F1011" s="16" t="s">
        <v>14</v>
      </c>
      <c r="G1011" s="17" t="str">
        <f t="shared" si="22"/>
        <v xml:space="preserve"> neuf cent quatre vingt six mille</v>
      </c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</row>
    <row r="1012" spans="2:20" x14ac:dyDescent="0.35">
      <c r="B1012" s="16">
        <v>987000</v>
      </c>
      <c r="C1012" s="16" t="s">
        <v>124</v>
      </c>
      <c r="D1012" s="16" t="s">
        <v>92</v>
      </c>
      <c r="E1012" s="16" t="s">
        <v>21</v>
      </c>
      <c r="F1012" s="16" t="s">
        <v>14</v>
      </c>
      <c r="G1012" s="17" t="str">
        <f t="shared" si="22"/>
        <v xml:space="preserve"> neuf cent quatre vingt sept mille</v>
      </c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</row>
    <row r="1013" spans="2:20" x14ac:dyDescent="0.35">
      <c r="B1013" s="16">
        <v>988000</v>
      </c>
      <c r="C1013" s="16" t="s">
        <v>124</v>
      </c>
      <c r="D1013" s="16" t="s">
        <v>92</v>
      </c>
      <c r="E1013" s="16" t="s">
        <v>25</v>
      </c>
      <c r="F1013" s="16" t="s">
        <v>14</v>
      </c>
      <c r="G1013" s="17" t="str">
        <f t="shared" si="22"/>
        <v xml:space="preserve"> neuf cent quatre vingt huit mille</v>
      </c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</row>
    <row r="1014" spans="2:20" x14ac:dyDescent="0.35">
      <c r="B1014" s="16">
        <v>989000</v>
      </c>
      <c r="C1014" s="16" t="s">
        <v>124</v>
      </c>
      <c r="D1014" s="16" t="s">
        <v>92</v>
      </c>
      <c r="E1014" s="16" t="s">
        <v>28</v>
      </c>
      <c r="F1014" s="16" t="s">
        <v>14</v>
      </c>
      <c r="G1014" s="17" t="str">
        <f t="shared" si="22"/>
        <v xml:space="preserve"> neuf cent quatre vingt neuf mille</v>
      </c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</row>
    <row r="1015" spans="2:20" x14ac:dyDescent="0.35">
      <c r="B1015" s="16">
        <v>990000</v>
      </c>
      <c r="C1015" s="16" t="s">
        <v>124</v>
      </c>
      <c r="D1015" s="16" t="s">
        <v>92</v>
      </c>
      <c r="E1015" s="16" t="s">
        <v>39</v>
      </c>
      <c r="F1015" s="16" t="s">
        <v>14</v>
      </c>
      <c r="G1015" s="17" t="str">
        <f t="shared" si="22"/>
        <v xml:space="preserve"> neuf cent quatre vingt dix mille</v>
      </c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</row>
    <row r="1016" spans="2:20" x14ac:dyDescent="0.35">
      <c r="B1016" s="16">
        <v>991000</v>
      </c>
      <c r="C1016" s="16" t="s">
        <v>124</v>
      </c>
      <c r="D1016" s="16" t="s">
        <v>92</v>
      </c>
      <c r="E1016" s="16" t="s">
        <v>42</v>
      </c>
      <c r="F1016" s="16" t="s">
        <v>14</v>
      </c>
      <c r="G1016" s="17" t="str">
        <f t="shared" si="22"/>
        <v xml:space="preserve"> neuf cent quatre vingt onze mille</v>
      </c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</row>
    <row r="1017" spans="2:20" x14ac:dyDescent="0.35">
      <c r="B1017" s="16">
        <v>992000</v>
      </c>
      <c r="C1017" s="16" t="s">
        <v>124</v>
      </c>
      <c r="D1017" s="16" t="s">
        <v>92</v>
      </c>
      <c r="E1017" s="16" t="s">
        <v>44</v>
      </c>
      <c r="F1017" s="16" t="s">
        <v>14</v>
      </c>
      <c r="G1017" s="17" t="str">
        <f t="shared" si="22"/>
        <v xml:space="preserve"> neuf cent quatre vingt douze mille</v>
      </c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</row>
    <row r="1018" spans="2:20" x14ac:dyDescent="0.35">
      <c r="B1018" s="16">
        <v>993000</v>
      </c>
      <c r="C1018" s="16" t="s">
        <v>124</v>
      </c>
      <c r="D1018" s="16" t="s">
        <v>92</v>
      </c>
      <c r="E1018" s="16" t="s">
        <v>46</v>
      </c>
      <c r="F1018" s="16" t="s">
        <v>14</v>
      </c>
      <c r="G1018" s="17" t="str">
        <f t="shared" si="22"/>
        <v xml:space="preserve"> neuf cent quatre vingt treize mille</v>
      </c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</row>
    <row r="1019" spans="2:20" x14ac:dyDescent="0.35">
      <c r="B1019" s="16">
        <v>994000</v>
      </c>
      <c r="C1019" s="16" t="s">
        <v>124</v>
      </c>
      <c r="D1019" s="16" t="s">
        <v>92</v>
      </c>
      <c r="E1019" s="16" t="s">
        <v>48</v>
      </c>
      <c r="F1019" s="16" t="s">
        <v>14</v>
      </c>
      <c r="G1019" s="17" t="str">
        <f t="shared" si="22"/>
        <v xml:space="preserve"> neuf cent quatre vingt quatorze mille</v>
      </c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</row>
    <row r="1020" spans="2:20" x14ac:dyDescent="0.35">
      <c r="B1020" s="16">
        <v>995000</v>
      </c>
      <c r="C1020" s="16" t="s">
        <v>124</v>
      </c>
      <c r="D1020" s="16" t="s">
        <v>92</v>
      </c>
      <c r="E1020" s="16" t="s">
        <v>13</v>
      </c>
      <c r="F1020" s="16" t="s">
        <v>14</v>
      </c>
      <c r="G1020" s="17" t="str">
        <f t="shared" si="22"/>
        <v xml:space="preserve"> neuf cent quatre vingt quinze mille</v>
      </c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</row>
    <row r="1021" spans="2:20" x14ac:dyDescent="0.35">
      <c r="B1021" s="16">
        <v>996000</v>
      </c>
      <c r="C1021" s="16" t="s">
        <v>124</v>
      </c>
      <c r="D1021" s="16" t="s">
        <v>92</v>
      </c>
      <c r="E1021" s="16" t="s">
        <v>19</v>
      </c>
      <c r="F1021" s="16" t="s">
        <v>14</v>
      </c>
      <c r="G1021" s="17" t="str">
        <f t="shared" si="22"/>
        <v xml:space="preserve"> neuf cent quatre vingt seize mille</v>
      </c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</row>
    <row r="1022" spans="2:20" x14ac:dyDescent="0.35">
      <c r="B1022" s="16">
        <v>997000</v>
      </c>
      <c r="C1022" s="16" t="s">
        <v>124</v>
      </c>
      <c r="D1022" s="16" t="s">
        <v>92</v>
      </c>
      <c r="E1022" s="16" t="s">
        <v>23</v>
      </c>
      <c r="F1022" s="16" t="s">
        <v>14</v>
      </c>
      <c r="G1022" s="17" t="str">
        <f t="shared" si="22"/>
        <v xml:space="preserve"> neuf cent quatre vingt dix sept mille</v>
      </c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</row>
    <row r="1023" spans="2:20" x14ac:dyDescent="0.35">
      <c r="B1023" s="16">
        <v>998000</v>
      </c>
      <c r="C1023" s="16" t="s">
        <v>124</v>
      </c>
      <c r="D1023" s="16" t="s">
        <v>92</v>
      </c>
      <c r="E1023" s="16" t="s">
        <v>27</v>
      </c>
      <c r="F1023" s="16" t="s">
        <v>14</v>
      </c>
      <c r="G1023" s="17" t="str">
        <f>CONCATENATE(C1023,D1023,E1023,F1023)</f>
        <v xml:space="preserve"> neuf cent quatre vingt dix huit mille</v>
      </c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</row>
    <row r="1024" spans="2:20" x14ac:dyDescent="0.35">
      <c r="B1024" s="16">
        <v>999000</v>
      </c>
      <c r="C1024" s="16" t="s">
        <v>124</v>
      </c>
      <c r="D1024" s="16" t="s">
        <v>92</v>
      </c>
      <c r="E1024" s="16" t="s">
        <v>30</v>
      </c>
      <c r="F1024" s="16" t="s">
        <v>14</v>
      </c>
      <c r="G1024" s="17" t="str">
        <f>CONCATENATE(C1024,D1024,E1024,F1024)</f>
        <v xml:space="preserve"> neuf cent quatre vingt dix neuf mille</v>
      </c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</row>
  </sheetData>
  <pageMargins left="0.7" right="0.7" top="0.75" bottom="0.75" header="0.3" footer="0.3"/>
  <pageSetup paperSize="9" orientation="portrait" horizontalDpi="4294967293" verticalDpi="0" r:id="rId1"/>
  <ignoredErrors>
    <ignoredError sqref="F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Facture</vt:lpstr>
      <vt:lpstr>Calculs</vt:lpstr>
      <vt:lpstr>Facture!Zone_d_impression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Scott Erdmann</cp:lastModifiedBy>
  <cp:lastPrinted>2024-05-06T14:59:14Z</cp:lastPrinted>
  <dcterms:created xsi:type="dcterms:W3CDTF">2012-07-29T12:22:30Z</dcterms:created>
  <dcterms:modified xsi:type="dcterms:W3CDTF">2026-03-17T14:38:51Z</dcterms:modified>
</cp:coreProperties>
</file>